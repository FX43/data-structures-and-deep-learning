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35617f66c664221" /></Relationships>
</file>

<file path=xl/workbook.xml><?xml version="1.0" encoding="utf-8"?>
<x:workbook xmlns:x="http://schemas.openxmlformats.org/spreadsheetml/2006/main">
  <x:sheets>
    <x:sheet xmlns:r="http://schemas.openxmlformats.org/officeDocument/2006/relationships" name="分类导航" sheetId="1" r:id="Re342b308edad469b"/>
    <x:sheet xmlns:r="http://schemas.openxmlformats.org/officeDocument/2006/relationships" name="题目总表" sheetId="2" r:id="R237c3b7773ce40c0"/>
    <x:sheet xmlns:r="http://schemas.openxmlformats.org/officeDocument/2006/relationships" name="使用说明" sheetId="3" r:id="R3abad6c1d4244a5f"/>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6">
    <x:font>
      <x:sz val="11"/>
      <x:name val="Carlito"/>
    </x:font>
    <x:font>
      <x:sz val="11"/>
      <x:color rgb="FF243247"/>
      <x:name val="Microsoft YaHei"/>
    </x:font>
    <x:font>
      <x:b/>
      <x:sz val="17"/>
      <x:color rgb="FF243247"/>
      <x:name val="Microsoft YaHei"/>
    </x:font>
    <x:font>
      <x:b/>
      <x:sz val="11"/>
      <x:color rgb="FFFFFFFF"/>
      <x:name val="Microsoft YaHei"/>
    </x:font>
    <x:font>
      <x:b/>
      <x:sz val="11"/>
      <x:color rgb="FF243247"/>
      <x:name val="Microsoft YaHei"/>
    </x:font>
    <x:font>
      <x:sz val="11"/>
      <x:color rgb="FF1765A3"/>
      <x:name val="Microsoft YaHei"/>
    </x:font>
  </x:fonts>
  <x:fills count="6">
    <x:fill>
      <x:patternFill patternType="none"/>
    </x:fill>
    <x:fill>
      <x:patternFill patternType="gray125"/>
    </x:fill>
    <x:fill>
      <x:patternFill patternType="solid">
        <x:fgColor rgb="FF234F77"/>
      </x:patternFill>
    </x:fill>
    <x:fill>
      <x:patternFill patternType="solid">
        <x:fgColor rgb="FFEAF1F7"/>
      </x:patternFill>
    </x:fill>
    <x:fill>
      <x:patternFill patternType="solid">
        <x:fgColor rgb="FFFFF7DA"/>
      </x:patternFill>
    </x:fill>
    <x:fill>
      <x:patternFill patternType="solid">
        <x:fgColor rgb="FFF4F7FA"/>
      </x:patternFill>
    </x:fill>
  </x:fills>
  <x:borders count="1">
    <x:border/>
  </x:borders>
  <x:cellStyleXfs count="1">
    <x:xf numFmtId="0" fontId="0" fillId="0" borderId="0"/>
  </x:cellStyleXfs>
  <x:cellXfs count="21">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200" fontId="1" fillId="3" borderId="0" xfId="0" applyNumberFormat="1" applyFont="1" applyFill="1" applyBorder="1" applyAlignment="1">
      <x:alignment vertical="center" wrapText="1"/>
    </x:xf>
    <x:xf numFmtId="0" fontId="4" fillId="3" borderId="0"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0" fontId="5" fillId="0" borderId="0" xfId="0" applyNumberFormat="1" applyFont="1" applyFill="1" applyBorder="1" applyAlignment="1">
      <x:alignment vertical="center" wrapText="1"/>
    </x:xf>
    <x:xf numFmtId="0" fontId="5"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4" fillId="0" borderId="0" xfId="0" applyNumberFormat="1" applyFont="1" applyFill="1" applyBorder="1" applyAlignment="1">
      <x:alignment vertical="center"/>
    </x:xf>
    <x:xf numFmtId="0" fontId="1" fillId="5" borderId="0"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4" fillId="0" borderId="0" xfId="0" applyNumberFormat="1" applyFont="1" applyFill="1" applyBorder="1" applyAlignment="1">
      <x:alignment vertical="center" wrapText="1"/>
    </x:xf>
  </x:cellXfs>
  <x:cellStyles count="1">
    <x:cellStyle name="Normal" xfId="0"/>
  </x:cellStyles>
  <x:dxfs count="3">
    <x:dxf>
      <x:font>
        <x:color rgb="FFA62838"/>
      </x:font>
      <x:fill>
        <x:patternFill patternType="solid">
          <x:bgColor rgb="FFFBEAEC"/>
        </x:patternFill>
      </x:fill>
    </x:dxf>
    <x:dxf>
      <x:font>
        <x:color rgb="FF8A5916"/>
      </x:font>
      <x:fill>
        <x:patternFill patternType="solid">
          <x:bgColor rgb="FFFFF4D8"/>
        </x:patternFill>
      </x:fill>
    </x:dxf>
    <x:dxf>
      <x:font>
        <x:color rgb="FF266345"/>
      </x:font>
      <x:fill>
        <x:patternFill patternType="solid">
          <x:bgColor rgb="FFE9F3E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1b7c2a7289b4e3a" /><Relationship Type="http://schemas.openxmlformats.org/officeDocument/2006/relationships/theme" Target="/xl/theme/theme1.xml" Id="R276a6ec347804360" /><Relationship Type="http://schemas.openxmlformats.org/officeDocument/2006/relationships/sharedStrings" Target="/xl/sharedStrings.xml" Id="Ra9ac838e8c9246fb" /><Relationship Type="http://schemas.openxmlformats.org/officeDocument/2006/relationships/worksheet" Target="/xl/worksheets/sheet1.xml" Id="Re342b308edad469b" /><Relationship Type="http://schemas.openxmlformats.org/officeDocument/2006/relationships/worksheet" Target="/xl/worksheets/sheet2.xml" Id="R237c3b7773ce40c0" /><Relationship Type="http://schemas.openxmlformats.org/officeDocument/2006/relationships/worksheet" Target="/xl/worksheets/sheet3.xml" Id="R3abad6c1d4244a5f" /></Relationships>
</file>

<file path=xl/tables/table1.xml><?xml version="1.0" encoding="utf-8"?>
<x:table xmlns:x="http://schemas.openxmlformats.org/spreadsheetml/2006/main" id="1" name="ProblemIndex" displayName="ProblemIndex" ref="A4:R107" headerRowCount="1" totalsRowCount="0" totalsRowShown="0">
  <x:autoFilter ref="A4:R107"/>
  <x:tableColumns count="18">
    <x:tableColumn id="1" name="官网分类"/>
    <x:tableColumn id="2" name="子专题"/>
    <x:tableColumn id="3" name="题号"/>
    <x:tableColumn id="4" name="题目"/>
    <x:tableColumn id="5" name="题解文档"/>
    <x:tableColumn id="6" name="章节"/>
    <x:tableColumn id="7" name="笔记情况"/>
    <x:tableColumn id="8" name="范围"/>
    <x:tableColumn id="9" name="难度"/>
    <x:tableColumn id="10" name="频次"/>
    <x:tableColumn id="11" name="状态"/>
    <x:tableColumn id="12" name="刷题次数"/>
    <x:tableColumn id="13" name="解题思路与注意事项"/>
    <x:tableColumn id="14" name="错题补充"/>
    <x:tableColumn id="15" name="相关Hot100题"/>
    <x:tableColumn id="16" name="解法标签"/>
    <x:tableColumn id="17" name="官网链接"/>
    <x:tableColumn id="18" name="分类依据"/>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xml version='1.0' encoding='utf-8'?>
<ns0:Relationships xmlns:ns0="http://schemas.openxmlformats.org/package/2006/relationships"><ns0:Relationship Id="codexHyperlink1" Type="http://schemas.openxmlformats.org/officeDocument/2006/relationships/hyperlink" Target="01_&#21704;&#24076;.ipynb" TargetMode="External" /><ns0:Relationship Id="codexHyperlink3" Type="http://schemas.openxmlformats.org/officeDocument/2006/relationships/hyperlink" Target="02_&#21452;&#25351;&#38024;.ipynb" TargetMode="External" /><ns0:Relationship Id="codexHyperlink5" Type="http://schemas.openxmlformats.org/officeDocument/2006/relationships/hyperlink" Target="03_&#28369;&#21160;&#31383;&#21475;.ipynb" TargetMode="External" /><ns0:Relationship Id="codexHyperlink7" Type="http://schemas.openxmlformats.org/officeDocument/2006/relationships/hyperlink" Target="04_&#23376;&#20018;.ipynb" TargetMode="External" /><ns0:Relationship Id="codexHyperlink9" Type="http://schemas.openxmlformats.org/officeDocument/2006/relationships/hyperlink" Target="05_&#26222;&#36890;&#25968;&#32452;.ipynb" TargetMode="External" /><ns0:Relationship Id="codexHyperlink11" Type="http://schemas.openxmlformats.org/officeDocument/2006/relationships/hyperlink" Target="06_&#30697;&#38453;.ipynb" TargetMode="External" /><ns0:Relationship Id="codexHyperlink13" Type="http://schemas.openxmlformats.org/officeDocument/2006/relationships/hyperlink" Target="07_&#38142;&#34920;.ipynb" TargetMode="External" /><ns0:Relationship Id="codexHyperlink15" Type="http://schemas.openxmlformats.org/officeDocument/2006/relationships/hyperlink" Target="08_&#20108;&#21449;&#26641;.ipynb" TargetMode="External" /><ns0:Relationship Id="codexHyperlink17" Type="http://schemas.openxmlformats.org/officeDocument/2006/relationships/hyperlink" Target="09_&#22270;&#35770;.ipynb" TargetMode="External" /><ns0:Relationship Id="codexHyperlink19" Type="http://schemas.openxmlformats.org/officeDocument/2006/relationships/hyperlink" Target="10_&#22238;&#28335;.ipynb" TargetMode="External" /><ns0:Relationship Id="codexHyperlink21" Type="http://schemas.openxmlformats.org/officeDocument/2006/relationships/hyperlink" Target="11_&#20108;&#20998;&#26597;&#25214;.ipynb" TargetMode="External" /><ns0:Relationship Id="codexHyperlink23" Type="http://schemas.openxmlformats.org/officeDocument/2006/relationships/hyperlink" Target="12_&#26632;.ipynb" TargetMode="External" /><ns0:Relationship Id="codexHyperlink25" Type="http://schemas.openxmlformats.org/officeDocument/2006/relationships/hyperlink" Target="13_&#22534;.ipynb" TargetMode="External" /><ns0:Relationship Id="codexHyperlink27" Type="http://schemas.openxmlformats.org/officeDocument/2006/relationships/hyperlink" Target="14_&#36138;&#24515;&#31639;&#27861;.ipynb" TargetMode="External" /><ns0:Relationship Id="codexHyperlink29" Type="http://schemas.openxmlformats.org/officeDocument/2006/relationships/hyperlink" Target="15_&#21160;&#24577;&#35268;&#21010;.ipynb" TargetMode="External" /><ns0:Relationship Id="codexHyperlink31" Type="http://schemas.openxmlformats.org/officeDocument/2006/relationships/hyperlink" Target="16_&#22810;&#32500;&#21160;&#24577;&#35268;&#21010;.ipynb" TargetMode="External" /><ns0:Relationship Id="codexHyperlink33" Type="http://schemas.openxmlformats.org/officeDocument/2006/relationships/hyperlink" Target="17_&#25216;&#24039;.ipynb" TargetMode="External" /></ns0:Relationships>
</file>

<file path=xl/worksheets/_rels/sheet2.xml.rels><?xml version='1.0' encoding='utf-8'?>
<ns0:Relationships xmlns:ns0="http://schemas.openxmlformats.org/package/2006/relationships"><ns0:Relationship Type="http://schemas.openxmlformats.org/officeDocument/2006/relationships/table" Target="/xl/tables/table1.xml" Id="R46e72f1a886b47c6" /><ns0:Relationship Id="codexHyperlink1" Type="http://schemas.openxmlformats.org/officeDocument/2006/relationships/hyperlink" Target="01_&#21704;&#24076;.ipynb" TargetMode="External" /><ns0:Relationship Id="codexHyperlink2" Type="http://schemas.openxmlformats.org/officeDocument/2006/relationships/hyperlink" Target="01_&#21704;&#24076;.ipynb" TargetMode="External" /><ns0:Relationship Id="codexHyperlink3" Type="http://schemas.openxmlformats.org/officeDocument/2006/relationships/hyperlink" Target="02_&#21452;&#25351;&#38024;.ipynb" TargetMode="External" /><ns0:Relationship Id="codexHyperlink4" Type="http://schemas.openxmlformats.org/officeDocument/2006/relationships/hyperlink" Target="02_&#21452;&#25351;&#38024;.ipynb" TargetMode="External" /><ns0:Relationship Id="codexHyperlink5" Type="http://schemas.openxmlformats.org/officeDocument/2006/relationships/hyperlink" Target="02_&#21452;&#25351;&#38024;.ipynb" TargetMode="External" /><ns0:Relationship Id="codexHyperlink6" Type="http://schemas.openxmlformats.org/officeDocument/2006/relationships/hyperlink" Target="02_&#21452;&#25351;&#38024;.ipynb" TargetMode="External" /><ns0:Relationship Id="codexHyperlink7" Type="http://schemas.openxmlformats.org/officeDocument/2006/relationships/hyperlink" Target="03_&#28369;&#21160;&#31383;&#21475;.ipynb" TargetMode="External" /><ns0:Relationship Id="codexHyperlink8" Type="http://schemas.openxmlformats.org/officeDocument/2006/relationships/hyperlink" Target="03_&#28369;&#21160;&#31383;&#21475;.ipynb" TargetMode="External" /><ns0:Relationship Id="codexHyperlink9" Type="http://schemas.openxmlformats.org/officeDocument/2006/relationships/hyperlink" Target="03_&#28369;&#21160;&#31383;&#21475;.ipynb" TargetMode="External" /><ns0:Relationship Id="codexHyperlink10" Type="http://schemas.openxmlformats.org/officeDocument/2006/relationships/hyperlink" Target="03_&#28369;&#21160;&#31383;&#21475;.ipynb" TargetMode="External" /><ns0:Relationship Id="codexHyperlink11" Type="http://schemas.openxmlformats.org/officeDocument/2006/relationships/hyperlink" Target="04_&#23376;&#20018;.ipynb" TargetMode="External" /><ns0:Relationship Id="codexHyperlink12" Type="http://schemas.openxmlformats.org/officeDocument/2006/relationships/hyperlink" Target="04_&#23376;&#20018;.ipynb" TargetMode="External" /><ns0:Relationship Id="codexHyperlink13" Type="http://schemas.openxmlformats.org/officeDocument/2006/relationships/hyperlink" Target="04_&#23376;&#20018;.ipynb" TargetMode="External" /><ns0:Relationship Id="codexHyperlink14" Type="http://schemas.openxmlformats.org/officeDocument/2006/relationships/hyperlink" Target="05_&#26222;&#36890;&#25968;&#32452;.ipynb" TargetMode="External" /><ns0:Relationship Id="codexHyperlink15" Type="http://schemas.openxmlformats.org/officeDocument/2006/relationships/hyperlink" Target="05_&#26222;&#36890;&#25968;&#32452;.ipynb" TargetMode="External" /><ns0:Relationship Id="codexHyperlink16" Type="http://schemas.openxmlformats.org/officeDocument/2006/relationships/hyperlink" Target="05_&#26222;&#36890;&#25968;&#32452;.ipynb" TargetMode="External" /><ns0:Relationship Id="codexHyperlink17" Type="http://schemas.openxmlformats.org/officeDocument/2006/relationships/hyperlink" Target="05_&#26222;&#36890;&#25968;&#32452;.ipynb" TargetMode="External" /><ns0:Relationship Id="codexHyperlink18" Type="http://schemas.openxmlformats.org/officeDocument/2006/relationships/hyperlink" Target="05_&#26222;&#36890;&#25968;&#32452;.ipynb" TargetMode="External" /><ns0:Relationship Id="codexHyperlink19" Type="http://schemas.openxmlformats.org/officeDocument/2006/relationships/hyperlink" Target="06_&#30697;&#38453;.ipynb" TargetMode="External" /><ns0:Relationship Id="codexHyperlink20" Type="http://schemas.openxmlformats.org/officeDocument/2006/relationships/hyperlink" Target="06_&#30697;&#38453;.ipynb" TargetMode="External" /><ns0:Relationship Id="codexHyperlink21" Type="http://schemas.openxmlformats.org/officeDocument/2006/relationships/hyperlink" Target="06_&#30697;&#38453;.ipynb" TargetMode="External" /><ns0:Relationship Id="codexHyperlink22" Type="http://schemas.openxmlformats.org/officeDocument/2006/relationships/hyperlink" Target="06_&#30697;&#38453;.ipynb" TargetMode="External" /><ns0:Relationship Id="codexHyperlink23" Type="http://schemas.openxmlformats.org/officeDocument/2006/relationships/hyperlink" Target="07_&#38142;&#34920;.ipynb" TargetMode="External" /><ns0:Relationship Id="codexHyperlink24" Type="http://schemas.openxmlformats.org/officeDocument/2006/relationships/hyperlink" Target="07_&#38142;&#34920;.ipynb" TargetMode="External" /><ns0:Relationship Id="codexHyperlink25" Type="http://schemas.openxmlformats.org/officeDocument/2006/relationships/hyperlink" Target="07_&#38142;&#34920;.ipynb" TargetMode="External" /><ns0:Relationship Id="codexHyperlink26" Type="http://schemas.openxmlformats.org/officeDocument/2006/relationships/hyperlink" Target="07_&#38142;&#34920;.ipynb" TargetMode="External" /><ns0:Relationship Id="codexHyperlink27" Type="http://schemas.openxmlformats.org/officeDocument/2006/relationships/hyperlink" Target="07_&#38142;&#34920;.ipynb" TargetMode="External" /><ns0:Relationship Id="codexHyperlink28" Type="http://schemas.openxmlformats.org/officeDocument/2006/relationships/hyperlink" Target="07_&#38142;&#34920;.ipynb" TargetMode="External" /><ns0:Relationship Id="codexHyperlink29" Type="http://schemas.openxmlformats.org/officeDocument/2006/relationships/hyperlink" Target="07_&#38142;&#34920;.ipynb" TargetMode="External" /><ns0:Relationship Id="codexHyperlink30" Type="http://schemas.openxmlformats.org/officeDocument/2006/relationships/hyperlink" Target="07_&#38142;&#34920;.ipynb" TargetMode="External" /><ns0:Relationship Id="codexHyperlink31" Type="http://schemas.openxmlformats.org/officeDocument/2006/relationships/hyperlink" Target="07_&#38142;&#34920;.ipynb" TargetMode="External" /><ns0:Relationship Id="codexHyperlink32" Type="http://schemas.openxmlformats.org/officeDocument/2006/relationships/hyperlink" Target="07_&#38142;&#34920;.ipynb" TargetMode="External" /><ns0:Relationship Id="codexHyperlink33" Type="http://schemas.openxmlformats.org/officeDocument/2006/relationships/hyperlink" Target="07_&#38142;&#34920;.ipynb" TargetMode="External" /><ns0:Relationship Id="codexHyperlink34" Type="http://schemas.openxmlformats.org/officeDocument/2006/relationships/hyperlink" Target="07_&#38142;&#34920;.ipynb" TargetMode="External" /><ns0:Relationship Id="codexHyperlink35" Type="http://schemas.openxmlformats.org/officeDocument/2006/relationships/hyperlink" Target="07_&#38142;&#34920;.ipynb" TargetMode="External" /><ns0:Relationship Id="codexHyperlink36" Type="http://schemas.openxmlformats.org/officeDocument/2006/relationships/hyperlink" Target="08_&#20108;&#21449;&#26641;.ipynb" TargetMode="External" /><ns0:Relationship Id="codexHyperlink37" Type="http://schemas.openxmlformats.org/officeDocument/2006/relationships/hyperlink" Target="08_&#20108;&#21449;&#26641;.ipynb" TargetMode="External" /><ns0:Relationship Id="codexHyperlink38" Type="http://schemas.openxmlformats.org/officeDocument/2006/relationships/hyperlink" Target="08_&#20108;&#21449;&#26641;.ipynb" TargetMode="External" /><ns0:Relationship Id="codexHyperlink39" Type="http://schemas.openxmlformats.org/officeDocument/2006/relationships/hyperlink" Target="08_&#20108;&#21449;&#26641;.ipynb" TargetMode="External" /><ns0:Relationship Id="codexHyperlink40" Type="http://schemas.openxmlformats.org/officeDocument/2006/relationships/hyperlink" Target="08_&#20108;&#21449;&#26641;.ipynb" TargetMode="External" /><ns0:Relationship Id="codexHyperlink41" Type="http://schemas.openxmlformats.org/officeDocument/2006/relationships/hyperlink" Target="08_&#20108;&#21449;&#26641;.ipynb" TargetMode="External" /><ns0:Relationship Id="codexHyperlink42" Type="http://schemas.openxmlformats.org/officeDocument/2006/relationships/hyperlink" Target="08_&#20108;&#21449;&#26641;.ipynb" TargetMode="External" /><ns0:Relationship Id="codexHyperlink43" Type="http://schemas.openxmlformats.org/officeDocument/2006/relationships/hyperlink" Target="08_&#20108;&#21449;&#26641;.ipynb" TargetMode="External" /><ns0:Relationship Id="codexHyperlink44" Type="http://schemas.openxmlformats.org/officeDocument/2006/relationships/hyperlink" Target="08_&#20108;&#21449;&#26641;.ipynb" TargetMode="External" /><ns0:Relationship Id="codexHyperlink45" Type="http://schemas.openxmlformats.org/officeDocument/2006/relationships/hyperlink" Target="08_&#20108;&#21449;&#26641;.ipynb" TargetMode="External" /><ns0:Relationship Id="codexHyperlink46" Type="http://schemas.openxmlformats.org/officeDocument/2006/relationships/hyperlink" Target="08_&#20108;&#21449;&#26641;.ipynb" TargetMode="External" /><ns0:Relationship Id="codexHyperlink47" Type="http://schemas.openxmlformats.org/officeDocument/2006/relationships/hyperlink" Target="08_&#20108;&#21449;&#26641;.ipynb" TargetMode="External" /><ns0:Relationship Id="codexHyperlink48" Type="http://schemas.openxmlformats.org/officeDocument/2006/relationships/hyperlink" Target="08_&#20108;&#21449;&#26641;.ipynb" TargetMode="External" /><ns0:Relationship Id="codexHyperlink49" Type="http://schemas.openxmlformats.org/officeDocument/2006/relationships/hyperlink" Target="08_&#20108;&#21449;&#26641;.ipynb" TargetMode="External" /><ns0:Relationship Id="codexHyperlink50" Type="http://schemas.openxmlformats.org/officeDocument/2006/relationships/hyperlink" Target="08_&#20108;&#21449;&#26641;.ipynb" TargetMode="External" /><ns0:Relationship Id="codexHyperlink51" Type="http://schemas.openxmlformats.org/officeDocument/2006/relationships/hyperlink" Target="08_&#20108;&#21449;&#26641;.ipynb" TargetMode="External" /><ns0:Relationship Id="codexHyperlink52" Type="http://schemas.openxmlformats.org/officeDocument/2006/relationships/hyperlink" Target="08_&#20108;&#21449;&#26641;.ipynb" TargetMode="External" /><ns0:Relationship Id="codexHyperlink53" Type="http://schemas.openxmlformats.org/officeDocument/2006/relationships/hyperlink" Target="08_&#20108;&#21449;&#26641;.ipynb" TargetMode="External" /><ns0:Relationship Id="codexHyperlink54" Type="http://schemas.openxmlformats.org/officeDocument/2006/relationships/hyperlink" Target="09_&#22270;&#35770;.ipynb" TargetMode="External" /><ns0:Relationship Id="codexHyperlink55" Type="http://schemas.openxmlformats.org/officeDocument/2006/relationships/hyperlink" Target="09_&#22270;&#35770;.ipynb" TargetMode="External" /><ns0:Relationship Id="codexHyperlink56" Type="http://schemas.openxmlformats.org/officeDocument/2006/relationships/hyperlink" Target="09_&#22270;&#35770;.ipynb" TargetMode="External" /><ns0:Relationship Id="codexHyperlink57" Type="http://schemas.openxmlformats.org/officeDocument/2006/relationships/hyperlink" Target="10_&#22238;&#28335;.ipynb" TargetMode="External" /><ns0:Relationship Id="codexHyperlink58" Type="http://schemas.openxmlformats.org/officeDocument/2006/relationships/hyperlink" Target="10_&#22238;&#28335;.ipynb" TargetMode="External" /><ns0:Relationship Id="codexHyperlink59" Type="http://schemas.openxmlformats.org/officeDocument/2006/relationships/hyperlink" Target="10_&#22238;&#28335;.ipynb" TargetMode="External" /><ns0:Relationship Id="codexHyperlink60" Type="http://schemas.openxmlformats.org/officeDocument/2006/relationships/hyperlink" Target="10_&#22238;&#28335;.ipynb" TargetMode="External" /><ns0:Relationship Id="codexHyperlink61" Type="http://schemas.openxmlformats.org/officeDocument/2006/relationships/hyperlink" Target="10_&#22238;&#28335;.ipynb" TargetMode="External" /><ns0:Relationship Id="codexHyperlink62" Type="http://schemas.openxmlformats.org/officeDocument/2006/relationships/hyperlink" Target="10_&#22238;&#28335;.ipynb" TargetMode="External" /><ns0:Relationship Id="codexHyperlink63" Type="http://schemas.openxmlformats.org/officeDocument/2006/relationships/hyperlink" Target="10_&#22238;&#28335;.ipynb" TargetMode="External" /><ns0:Relationship Id="codexHyperlink64" Type="http://schemas.openxmlformats.org/officeDocument/2006/relationships/hyperlink" Target="10_&#22238;&#28335;.ipynb" TargetMode="External" /><ns0:Relationship Id="codexHyperlink65" Type="http://schemas.openxmlformats.org/officeDocument/2006/relationships/hyperlink" Target="11_&#20108;&#20998;&#26597;&#25214;.ipynb" TargetMode="External" /><ns0:Relationship Id="codexHyperlink66" Type="http://schemas.openxmlformats.org/officeDocument/2006/relationships/hyperlink" Target="11_&#20108;&#20998;&#26597;&#25214;.ipynb" TargetMode="External" /><ns0:Relationship Id="codexHyperlink67" Type="http://schemas.openxmlformats.org/officeDocument/2006/relationships/hyperlink" Target="11_&#20108;&#20998;&#26597;&#25214;.ipynb" TargetMode="External" /><ns0:Relationship Id="codexHyperlink68" Type="http://schemas.openxmlformats.org/officeDocument/2006/relationships/hyperlink" Target="11_&#20108;&#20998;&#26597;&#25214;.ipynb" TargetMode="External" /><ns0:Relationship Id="codexHyperlink69" Type="http://schemas.openxmlformats.org/officeDocument/2006/relationships/hyperlink" Target="11_&#20108;&#20998;&#26597;&#25214;.ipynb" TargetMode="External" /><ns0:Relationship Id="codexHyperlink70" Type="http://schemas.openxmlformats.org/officeDocument/2006/relationships/hyperlink" Target="11_&#20108;&#20998;&#26597;&#25214;.ipynb" TargetMode="External" /><ns0:Relationship Id="codexHyperlink71" Type="http://schemas.openxmlformats.org/officeDocument/2006/relationships/hyperlink" Target="12_&#26632;.ipynb" TargetMode="External" /><ns0:Relationship Id="codexHyperlink72" Type="http://schemas.openxmlformats.org/officeDocument/2006/relationships/hyperlink" Target="12_&#26632;.ipynb" TargetMode="External" /><ns0:Relationship Id="codexHyperlink73" Type="http://schemas.openxmlformats.org/officeDocument/2006/relationships/hyperlink" Target="12_&#26632;.ipynb" TargetMode="External" /><ns0:Relationship Id="codexHyperlink74" Type="http://schemas.openxmlformats.org/officeDocument/2006/relationships/hyperlink" Target="12_&#26632;.ipynb" TargetMode="External" /><ns0:Relationship Id="codexHyperlink75" Type="http://schemas.openxmlformats.org/officeDocument/2006/relationships/hyperlink" Target="13_&#22534;.ipynb" TargetMode="External" /><ns0:Relationship Id="codexHyperlink76" Type="http://schemas.openxmlformats.org/officeDocument/2006/relationships/hyperlink" Target="13_&#22534;.ipynb" TargetMode="External" /><ns0:Relationship Id="codexHyperlink77" Type="http://schemas.openxmlformats.org/officeDocument/2006/relationships/hyperlink" Target="14_&#36138;&#24515;&#31639;&#27861;.ipynb" TargetMode="External" /><ns0:Relationship Id="codexHyperlink78" Type="http://schemas.openxmlformats.org/officeDocument/2006/relationships/hyperlink" Target="14_&#36138;&#24515;&#31639;&#27861;.ipynb" TargetMode="External" /><ns0:Relationship Id="codexHyperlink79" Type="http://schemas.openxmlformats.org/officeDocument/2006/relationships/hyperlink" Target="14_&#36138;&#24515;&#31639;&#27861;.ipynb" TargetMode="External" /><ns0:Relationship Id="codexHyperlink80" Type="http://schemas.openxmlformats.org/officeDocument/2006/relationships/hyperlink" Target="14_&#36138;&#24515;&#31639;&#27861;.ipynb" TargetMode="External" /><ns0:Relationship Id="codexHyperlink81" Type="http://schemas.openxmlformats.org/officeDocument/2006/relationships/hyperlink" Target="14_&#36138;&#24515;&#31639;&#27861;.ipynb" TargetMode="External" /><ns0:Relationship Id="codexHyperlink82" Type="http://schemas.openxmlformats.org/officeDocument/2006/relationships/hyperlink" Target="15_&#21160;&#24577;&#35268;&#21010;.ipynb" TargetMode="External" /><ns0:Relationship Id="codexHyperlink83" Type="http://schemas.openxmlformats.org/officeDocument/2006/relationships/hyperlink" Target="15_&#21160;&#24577;&#35268;&#21010;.ipynb" TargetMode="External" /><ns0:Relationship Id="codexHyperlink84" Type="http://schemas.openxmlformats.org/officeDocument/2006/relationships/hyperlink" Target="15_&#21160;&#24577;&#35268;&#21010;.ipynb" TargetMode="External" /><ns0:Relationship Id="codexHyperlink85" Type="http://schemas.openxmlformats.org/officeDocument/2006/relationships/hyperlink" Target="15_&#21160;&#24577;&#35268;&#21010;.ipynb" TargetMode="External" /><ns0:Relationship Id="codexHyperlink86" Type="http://schemas.openxmlformats.org/officeDocument/2006/relationships/hyperlink" Target="15_&#21160;&#24577;&#35268;&#21010;.ipynb" TargetMode="External" /><ns0:Relationship Id="codexHyperlink87" Type="http://schemas.openxmlformats.org/officeDocument/2006/relationships/hyperlink" Target="15_&#21160;&#24577;&#35268;&#21010;.ipynb" TargetMode="External" /><ns0:Relationship Id="codexHyperlink88" Type="http://schemas.openxmlformats.org/officeDocument/2006/relationships/hyperlink" Target="15_&#21160;&#24577;&#35268;&#21010;.ipynb" TargetMode="External" /><ns0:Relationship Id="codexHyperlink89" Type="http://schemas.openxmlformats.org/officeDocument/2006/relationships/hyperlink" Target="15_&#21160;&#24577;&#35268;&#21010;.ipynb" TargetMode="External" /><ns0:Relationship Id="codexHyperlink90" Type="http://schemas.openxmlformats.org/officeDocument/2006/relationships/hyperlink" Target="15_&#21160;&#24577;&#35268;&#21010;.ipynb" TargetMode="External" /><ns0:Relationship Id="codexHyperlink91" Type="http://schemas.openxmlformats.org/officeDocument/2006/relationships/hyperlink" Target="15_&#21160;&#24577;&#35268;&#21010;.ipynb" TargetMode="External" /><ns0:Relationship Id="codexHyperlink92" Type="http://schemas.openxmlformats.org/officeDocument/2006/relationships/hyperlink" Target="15_&#21160;&#24577;&#35268;&#21010;.ipynb" TargetMode="External" /><ns0:Relationship Id="codexHyperlink93" Type="http://schemas.openxmlformats.org/officeDocument/2006/relationships/hyperlink" Target="16_&#22810;&#32500;&#21160;&#24577;&#35268;&#21010;.ipynb" TargetMode="External" /><ns0:Relationship Id="codexHyperlink94" Type="http://schemas.openxmlformats.org/officeDocument/2006/relationships/hyperlink" Target="16_&#22810;&#32500;&#21160;&#24577;&#35268;&#21010;.ipynb" TargetMode="External" /><ns0:Relationship Id="codexHyperlink95" Type="http://schemas.openxmlformats.org/officeDocument/2006/relationships/hyperlink" Target="16_&#22810;&#32500;&#21160;&#24577;&#35268;&#21010;.ipynb" TargetMode="External" /><ns0:Relationship Id="codexHyperlink96" Type="http://schemas.openxmlformats.org/officeDocument/2006/relationships/hyperlink" Target="16_&#22810;&#32500;&#21160;&#24577;&#35268;&#21010;.ipynb" TargetMode="External" /><ns0:Relationship Id="codexHyperlink97" Type="http://schemas.openxmlformats.org/officeDocument/2006/relationships/hyperlink" Target="16_&#22810;&#32500;&#21160;&#24577;&#35268;&#21010;.ipynb" TargetMode="External" /><ns0:Relationship Id="codexHyperlink98" Type="http://schemas.openxmlformats.org/officeDocument/2006/relationships/hyperlink" Target="16_&#22810;&#32500;&#21160;&#24577;&#35268;&#21010;.ipynb" TargetMode="External" /><ns0:Relationship Id="codexHyperlink99" Type="http://schemas.openxmlformats.org/officeDocument/2006/relationships/hyperlink" Target="16_&#22810;&#32500;&#21160;&#24577;&#35268;&#21010;.ipynb" TargetMode="External" /><ns0:Relationship Id="codexHyperlink100" Type="http://schemas.openxmlformats.org/officeDocument/2006/relationships/hyperlink" Target="16_&#22810;&#32500;&#21160;&#24577;&#35268;&#21010;.ipynb" TargetMode="External" /><ns0:Relationship Id="codexHyperlink101" Type="http://schemas.openxmlformats.org/officeDocument/2006/relationships/hyperlink" Target="17_&#25216;&#24039;.ipynb" TargetMode="External" /><ns0:Relationship Id="codexHyperlink102" Type="http://schemas.openxmlformats.org/officeDocument/2006/relationships/hyperlink" Target="17_&#25216;&#24039;.ipynb" TargetMode="External" /><ns0:Relationship Id="codexHyperlink103" Type="http://schemas.openxmlformats.org/officeDocument/2006/relationships/hyperlink" Target="17_&#25216;&#24039;.ipynb" TargetMode="External" /></ns0:Relationships>
</file>

<file path=xl/worksheets/sheet1.xml><?xml version="1.0" encoding="utf-8"?>
<worksheet xmlns="http://schemas.openxmlformats.org/spreadsheetml/2006/main" xmlns:r="http://schemas.openxmlformats.org/officeDocument/2006/relationships">
  <sheetViews>
    <sheetView showGridLines="0" workbookViewId="0"/>
  </sheetViews>
  <sheetFormatPr defaultRowHeight="15"/>
  <cols>
    <col min="1" max="1" width="18" hidden="0" customWidth="1"/>
    <col min="2" max="2" width="12" hidden="0" customWidth="1"/>
    <col min="3" max="3" width="12" hidden="0" customWidth="1"/>
    <col min="4" max="4" width="12" hidden="0" customWidth="1"/>
    <col min="5" max="5" width="31" hidden="0" customWidth="1"/>
    <col min="6" max="6" width="12" hidden="0" customWidth="1"/>
    <col min="7" max="7" width="55" hidden="0" customWidth="1"/>
  </cols>
  <sheetData>
    <row r="1" ht="32" customHeight="1">
      <c r="A1" s="3" t="str">
        <v>LeetCode 分类导航</v>
      </c>
      <c r="B1" s="2"/>
      <c r="C1" s="2"/>
      <c r="D1" s="2"/>
      <c r="E1" s="2"/>
      <c r="F1" s="2"/>
      <c r="G1" s="2"/>
    </row>
    <row r="2">
      <c r="A2" s="2" t="str">
        <v>按官网17类整理；题目数包含已有资料中的扩展题。点击文档打开笔记，点击查看进入总表。</v>
      </c>
      <c r="B2" s="2"/>
      <c r="C2" s="2"/>
      <c r="D2" s="2"/>
      <c r="E2" s="2"/>
      <c r="F2" s="2"/>
      <c r="G2" s="2"/>
    </row>
    <row r="3">
      <c r="A3" s="2" t="str">
        <v>分类依据：https://leetcode.cn/studyplan/top-100-liked/ （2026-09-07 核对）</v>
      </c>
      <c r="B3" s="2"/>
      <c r="C3" s="2"/>
      <c r="D3" s="2"/>
      <c r="E3" s="2"/>
      <c r="F3" s="2"/>
      <c r="G3" s="2"/>
    </row>
    <row r="4">
      <c r="A4" s="2"/>
      <c r="B4" s="2"/>
      <c r="C4" s="2"/>
      <c r="D4" s="2"/>
      <c r="E4" s="2"/>
      <c r="F4" s="2"/>
      <c r="G4" s="2"/>
    </row>
    <row r="5" ht="30" customHeight="1">
      <c r="A5" s="6" t="str">
        <v>官网分类</v>
      </c>
      <c r="B5" s="6" t="str">
        <v>本地题数</v>
      </c>
      <c r="C5" s="6" t="str">
        <v>Hot100</v>
      </c>
      <c r="D5" s="6" t="str">
        <v>扩展题</v>
      </c>
      <c r="E5" s="6" t="str">
        <v>题解文档</v>
      </c>
      <c r="F5" s="6" t="str">
        <v>总表入口</v>
      </c>
      <c r="G5" s="6" t="str">
        <v>分类重点</v>
      </c>
    </row>
    <row r="6" ht="33" customHeight="1">
      <c r="A6" s="18" t="str">
        <v>哈希</v>
      </c>
      <c r="B6" s="18" t="n">
        <f>COUNTIF('题目总表'!$A$5:$A$107,A6)</f>
        <v>2</v>
      </c>
      <c r="C6" s="18" t="n">
        <f>COUNTIFS('题目总表'!$A$5:$A$107,A6,'题目总表'!$H$5:$H$107,"Hot100")</f>
        <v>2</v>
      </c>
      <c r="D6" s="18" t="n">
        <f>COUNTIFS('题目总表'!$A$5:$A$107,A6,'题目总表'!$H$5:$H$107,"扩展题")</f>
        <v>0</v>
      </c>
      <c r="E6" s="19" t="str">
        <v>01_哈希.ipynb</v>
      </c>
      <c r="F6" s="19" t="str">
        <v>查看</v>
      </c>
      <c r="G6" s="18" t="str">
        <v>哈希分组、集合查找</v>
      </c>
    </row>
    <row r="7" ht="33" customHeight="1">
      <c r="A7" s="7" t="str">
        <v>双指针</v>
      </c>
      <c r="B7" s="7" t="n">
        <f>COUNTIF('题目总表'!$A$5:$A$107,A7)</f>
        <v>4</v>
      </c>
      <c r="C7" s="7" t="n">
        <f>COUNTIFS('题目总表'!$A$5:$A$107,A7,'题目总表'!$H$5:$H$107,"Hot100")</f>
        <v>3</v>
      </c>
      <c r="D7" s="7" t="n">
        <f>COUNTIFS('题目总表'!$A$5:$A$107,A7,'题目总表'!$H$5:$H$107,"扩展题")</f>
        <v>1</v>
      </c>
      <c r="E7" s="13" t="str">
        <v>02_双指针.ipynb</v>
      </c>
      <c r="F7" s="13" t="str">
        <v>查看</v>
      </c>
      <c r="G7" s="7" t="str">
        <v>移动零、三数之和、接雨水</v>
      </c>
    </row>
    <row r="8" ht="33" customHeight="1">
      <c r="A8" s="18" t="str">
        <v>滑动窗口</v>
      </c>
      <c r="B8" s="18" t="n">
        <f>COUNTIF('题目总表'!$A$5:$A$107,A8)</f>
        <v>4</v>
      </c>
      <c r="C8" s="18" t="n">
        <f>COUNTIFS('题目总表'!$A$5:$A$107,A8,'题目总表'!$H$5:$H$107,"Hot100")</f>
        <v>2</v>
      </c>
      <c r="D8" s="18" t="n">
        <f>COUNTIFS('题目总表'!$A$5:$A$107,A8,'题目总表'!$H$5:$H$107,"扩展题")</f>
        <v>2</v>
      </c>
      <c r="E8" s="19" t="str">
        <v>03_滑动窗口.ipynb</v>
      </c>
      <c r="F8" s="19" t="str">
        <v>查看</v>
      </c>
      <c r="G8" s="18" t="str">
        <v>异位词窗口、不定长窗口</v>
      </c>
    </row>
    <row r="9" ht="33" customHeight="1">
      <c r="A9" s="7" t="str">
        <v>子串</v>
      </c>
      <c r="B9" s="7" t="n">
        <f>COUNTIF('题目总表'!$A$5:$A$107,A9)</f>
        <v>3</v>
      </c>
      <c r="C9" s="7" t="n">
        <f>COUNTIFS('题目总表'!$A$5:$A$107,A9,'题目总表'!$H$5:$H$107,"Hot100")</f>
        <v>3</v>
      </c>
      <c r="D9" s="7" t="n">
        <f>COUNTIFS('题目总表'!$A$5:$A$107,A9,'题目总表'!$H$5:$H$107,"扩展题")</f>
        <v>0</v>
      </c>
      <c r="E9" s="13" t="str">
        <v>04_子串.ipynb</v>
      </c>
      <c r="F9" s="13" t="str">
        <v>查看</v>
      </c>
      <c r="G9" s="7" t="str">
        <v>前缀和、单调队列、覆盖窗口</v>
      </c>
    </row>
    <row r="10" ht="33" customHeight="1">
      <c r="A10" s="18" t="str">
        <v>普通数组</v>
      </c>
      <c r="B10" s="18" t="n">
        <f>COUNTIF('题目总表'!$A$5:$A$107,A10)</f>
        <v>5</v>
      </c>
      <c r="C10" s="18" t="n">
        <f>COUNTIFS('题目总表'!$A$5:$A$107,A10,'题目总表'!$H$5:$H$107,"Hot100")</f>
        <v>5</v>
      </c>
      <c r="D10" s="18" t="n">
        <f>COUNTIFS('题目总表'!$A$5:$A$107,A10,'题目总表'!$H$5:$H$107,"扩展题")</f>
        <v>0</v>
      </c>
      <c r="E10" s="19" t="str">
        <v>05_普通数组.ipynb</v>
      </c>
      <c r="F10" s="19" t="str">
        <v>查看</v>
      </c>
      <c r="G10" s="18" t="str">
        <v>区间、原地变换、前后缀</v>
      </c>
    </row>
    <row r="11" ht="33" customHeight="1">
      <c r="A11" s="7" t="str">
        <v>矩阵</v>
      </c>
      <c r="B11" s="7" t="n">
        <f>COUNTIF('题目总表'!$A$5:$A$107,A11)</f>
        <v>4</v>
      </c>
      <c r="C11" s="7" t="n">
        <f>COUNTIFS('题目总表'!$A$5:$A$107,A11,'题目总表'!$H$5:$H$107,"Hot100")</f>
        <v>4</v>
      </c>
      <c r="D11" s="7" t="n">
        <f>COUNTIFS('题目总表'!$A$5:$A$107,A11,'题目总表'!$H$5:$H$107,"扩展题")</f>
        <v>0</v>
      </c>
      <c r="E11" s="13" t="str">
        <v>06_矩阵.ipynb</v>
      </c>
      <c r="F11" s="13" t="str">
        <v>查看</v>
      </c>
      <c r="G11" s="7" t="str">
        <v>矩阵操作、搜索二维矩阵II</v>
      </c>
    </row>
    <row r="12" ht="33" customHeight="1">
      <c r="A12" s="18" t="str">
        <v>链表</v>
      </c>
      <c r="B12" s="18" t="n">
        <f>COUNTIF('题目总表'!$A$5:$A$107,A12)</f>
        <v>13</v>
      </c>
      <c r="C12" s="18" t="n">
        <f>COUNTIFS('题目总表'!$A$5:$A$107,A12,'题目总表'!$H$5:$H$107,"Hot100")</f>
        <v>13</v>
      </c>
      <c r="D12" s="18" t="n">
        <f>COUNTIFS('题目总表'!$A$5:$A$107,A12,'题目总表'!$H$5:$H$107,"扩展题")</f>
        <v>0</v>
      </c>
      <c r="E12" s="19" t="str">
        <v>07_链表.ipynb</v>
      </c>
      <c r="F12" s="19" t="str">
        <v>查看</v>
      </c>
      <c r="G12" s="18" t="str">
        <v>反转、环、归并、LRU缓存</v>
      </c>
    </row>
    <row r="13" ht="33" customHeight="1">
      <c r="A13" s="7" t="str">
        <v>二叉树</v>
      </c>
      <c r="B13" s="7" t="n">
        <f>COUNTIF('题目总表'!$A$5:$A$107,A13)</f>
        <v>18</v>
      </c>
      <c r="C13" s="7" t="n">
        <f>COUNTIFS('题目总表'!$A$5:$A$107,A13,'题目总表'!$H$5:$H$107,"Hot100")</f>
        <v>12</v>
      </c>
      <c r="D13" s="7" t="n">
        <f>COUNTIFS('题目总表'!$A$5:$A$107,A13,'题目总表'!$H$5:$H$107,"扩展题")</f>
        <v>6</v>
      </c>
      <c r="E13" s="13" t="str">
        <v>08_二叉树.ipynb</v>
      </c>
      <c r="F13" s="13" t="str">
        <v>查看</v>
      </c>
      <c r="G13" s="7" t="str">
        <v>遍历、路径、树形DP与一般树扩展</v>
      </c>
    </row>
    <row r="14" ht="33" customHeight="1">
      <c r="A14" s="18" t="str">
        <v>图论</v>
      </c>
      <c r="B14" s="18" t="n">
        <f>COUNTIF('题目总表'!$A$5:$A$107,A14)</f>
        <v>3</v>
      </c>
      <c r="C14" s="18" t="n">
        <f>COUNTIFS('题目总表'!$A$5:$A$107,A14,'题目总表'!$H$5:$H$107,"Hot100")</f>
        <v>3</v>
      </c>
      <c r="D14" s="18" t="n">
        <f>COUNTIFS('题目总表'!$A$5:$A$107,A14,'题目总表'!$H$5:$H$107,"扩展题")</f>
        <v>0</v>
      </c>
      <c r="E14" s="19" t="str">
        <v>09_图论.ipynb</v>
      </c>
      <c r="F14" s="19" t="str">
        <v>查看</v>
      </c>
      <c r="G14" s="18" t="str">
        <v>岛屿、拓扑排序、前缀树</v>
      </c>
    </row>
    <row r="15" ht="33" customHeight="1">
      <c r="A15" s="7" t="str">
        <v>回溯</v>
      </c>
      <c r="B15" s="7" t="n">
        <f>COUNTIF('题目总表'!$A$5:$A$107,A15)</f>
        <v>8</v>
      </c>
      <c r="C15" s="7" t="n">
        <f>COUNTIFS('题目总表'!$A$5:$A$107,A15,'题目总表'!$H$5:$H$107,"Hot100")</f>
        <v>7</v>
      </c>
      <c r="D15" s="7" t="n">
        <f>COUNTIFS('题目总表'!$A$5:$A$107,A15,'题目总表'!$H$5:$H$107,"扩展题")</f>
        <v>1</v>
      </c>
      <c r="E15" s="13" t="str">
        <v>10_回溯.ipynb</v>
      </c>
      <c r="F15" s="13" t="str">
        <v>查看</v>
      </c>
      <c r="G15" s="7" t="str">
        <v>排列、子集、组合与约束</v>
      </c>
    </row>
    <row r="16" ht="33" customHeight="1">
      <c r="A16" s="18" t="str">
        <v>二分查找</v>
      </c>
      <c r="B16" s="18" t="n">
        <f>COUNTIF('题目总表'!$A$5:$A$107,A16)</f>
        <v>6</v>
      </c>
      <c r="C16" s="18" t="n">
        <f>COUNTIFS('题目总表'!$A$5:$A$107,A16,'题目总表'!$H$5:$H$107,"Hot100")</f>
        <v>5</v>
      </c>
      <c r="D16" s="18" t="n">
        <f>COUNTIFS('题目总表'!$A$5:$A$107,A16,'题目总表'!$H$5:$H$107,"扩展题")</f>
        <v>1</v>
      </c>
      <c r="E16" s="19" t="str">
        <v>11_二分查找.ipynb</v>
      </c>
      <c r="F16" s="19" t="str">
        <v>查看</v>
      </c>
      <c r="G16" s="18" t="str">
        <v>边界、旋转数组、中位数</v>
      </c>
    </row>
    <row r="17" ht="33" customHeight="1">
      <c r="A17" s="7" t="str">
        <v>栈</v>
      </c>
      <c r="B17" s="7" t="n">
        <f>COUNTIF('题目总表'!$A$5:$A$107,A17)</f>
        <v>4</v>
      </c>
      <c r="C17" s="7" t="n">
        <f>COUNTIFS('题目总表'!$A$5:$A$107,A17,'题目总表'!$H$5:$H$107,"Hot100")</f>
        <v>4</v>
      </c>
      <c r="D17" s="7" t="n">
        <f>COUNTIFS('题目总表'!$A$5:$A$107,A17,'题目总表'!$H$5:$H$107,"扩展题")</f>
        <v>0</v>
      </c>
      <c r="E17" s="13" t="str">
        <v>12_栈.ipynb</v>
      </c>
      <c r="F17" s="13" t="str">
        <v>查看</v>
      </c>
      <c r="G17" s="7" t="str">
        <v>辅助栈、单调栈、解码</v>
      </c>
    </row>
    <row r="18" ht="33" customHeight="1">
      <c r="A18" s="18" t="str">
        <v>堆</v>
      </c>
      <c r="B18" s="18" t="n">
        <f>COUNTIF('题目总表'!$A$5:$A$107,A18)</f>
        <v>2</v>
      </c>
      <c r="C18" s="18" t="n">
        <f>COUNTIFS('题目总表'!$A$5:$A$107,A18,'题目总表'!$H$5:$H$107,"Hot100")</f>
        <v>2</v>
      </c>
      <c r="D18" s="18" t="n">
        <f>COUNTIFS('题目总表'!$A$5:$A$107,A18,'题目总表'!$H$5:$H$107,"扩展题")</f>
        <v>0</v>
      </c>
      <c r="E18" s="19" t="str">
        <v>13_堆.ipynb</v>
      </c>
      <c r="F18" s="19" t="str">
        <v>查看</v>
      </c>
      <c r="G18" s="18" t="str">
        <v>第K大、对顶堆</v>
      </c>
    </row>
    <row r="19" ht="33" customHeight="1">
      <c r="A19" s="7" t="str">
        <v>贪心算法</v>
      </c>
      <c r="B19" s="7" t="n">
        <f>COUNTIF('题目总表'!$A$5:$A$107,A19)</f>
        <v>5</v>
      </c>
      <c r="C19" s="7" t="n">
        <f>COUNTIFS('题目总表'!$A$5:$A$107,A19,'题目总表'!$H$5:$H$107,"Hot100")</f>
        <v>2</v>
      </c>
      <c r="D19" s="7" t="n">
        <f>COUNTIFS('题目总表'!$A$5:$A$107,A19,'题目总表'!$H$5:$H$107,"扩展题")</f>
        <v>3</v>
      </c>
      <c r="E19" s="13" t="str">
        <v>14_贪心算法.ipynb</v>
      </c>
      <c r="F19" s="13" t="str">
        <v>查看</v>
      </c>
      <c r="G19" s="7" t="str">
        <v>跳跃游戏、股票题族及状态机DP扩展</v>
      </c>
    </row>
    <row r="20" ht="33" customHeight="1">
      <c r="A20" s="18" t="str">
        <v>动态规划</v>
      </c>
      <c r="B20" s="18" t="n">
        <f>COUNTIF('题目总表'!$A$5:$A$107,A20)</f>
        <v>11</v>
      </c>
      <c r="C20" s="18" t="n">
        <f>COUNTIFS('题目总表'!$A$5:$A$107,A20,'题目总表'!$H$5:$H$107,"Hot100")</f>
        <v>6</v>
      </c>
      <c r="D20" s="18" t="n">
        <f>COUNTIFS('题目总表'!$A$5:$A$107,A20,'题目总表'!$H$5:$H$107,"扩展题")</f>
        <v>5</v>
      </c>
      <c r="E20" s="19" t="str">
        <v>15_动态规划.ipynb</v>
      </c>
      <c r="F20" s="19" t="str">
        <v>查看</v>
      </c>
      <c r="G20" s="18" t="str">
        <v>线性、背包、LIS、计数</v>
      </c>
    </row>
    <row r="21" ht="33" customHeight="1">
      <c r="A21" s="7" t="str">
        <v>多维动态规划</v>
      </c>
      <c r="B21" s="7" t="n">
        <f>COUNTIF('题目总表'!$A$5:$A$107,A21)</f>
        <v>8</v>
      </c>
      <c r="C21" s="7" t="n">
        <f>COUNTIFS('题目总表'!$A$5:$A$107,A21,'题目总表'!$H$5:$H$107,"Hot100")</f>
        <v>3</v>
      </c>
      <c r="D21" s="7" t="n">
        <f>COUNTIFS('题目总表'!$A$5:$A$107,A21,'题目总表'!$H$5:$H$107,"扩展题")</f>
        <v>5</v>
      </c>
      <c r="E21" s="13" t="str">
        <v>16_多维动态规划.ipynb</v>
      </c>
      <c r="F21" s="13" t="str">
        <v>查看</v>
      </c>
      <c r="G21" s="7" t="str">
        <v>回文区间、双序列、二维状态</v>
      </c>
    </row>
    <row r="22" ht="33" customHeight="1">
      <c r="A22" s="18" t="str">
        <v>技巧</v>
      </c>
      <c r="B22" s="18" t="n">
        <f>COUNTIF('题目总表'!$A$5:$A$107,A22)</f>
        <v>3</v>
      </c>
      <c r="C22" s="18" t="n">
        <f>COUNTIFS('题目总表'!$A$5:$A$107,A22,'题目总表'!$H$5:$H$107,"Hot100")</f>
        <v>3</v>
      </c>
      <c r="D22" s="18" t="n">
        <f>COUNTIFS('题目总表'!$A$5:$A$107,A22,'题目总表'!$H$5:$H$107,"扩展题")</f>
        <v>0</v>
      </c>
      <c r="E22" s="19" t="str">
        <v>17_技巧.ipynb</v>
      </c>
      <c r="F22" s="19" t="str">
        <v>查看</v>
      </c>
      <c r="G22" s="18" t="str">
        <v>颜色分类、排列、判圈</v>
      </c>
    </row>
    <row r="23" ht="32" customHeight="1">
      <c r="A23" s="20" t="str">
        <v>合计</v>
      </c>
      <c r="B23" s="20" t="n">
        <f>SUM(B6:B22)</f>
        <v>103</v>
      </c>
      <c r="C23" s="20" t="n">
        <f>SUM(C6:C22)</f>
        <v>79</v>
      </c>
      <c r="D23" s="20" t="n">
        <f>SUM(D6:D22)</f>
        <v>24</v>
      </c>
      <c r="E23" s="20"/>
      <c r="F23" s="20"/>
      <c r="G23" s="20"/>
    </row>
  </sheetData>
  <hyperlinks>
    <hyperlink ref="E6" display="01_哈希.ipynb" r:id="codexHyperlink1"/>
    <hyperlink ref="F6" display="查看" location="'题目总表'!A5"/>
    <hyperlink ref="E7" display="02_双指针.ipynb" r:id="codexHyperlink3"/>
    <hyperlink ref="F7" display="查看" location="'题目总表'!A7"/>
    <hyperlink ref="E8" display="03_滑动窗口.ipynb" r:id="codexHyperlink5"/>
    <hyperlink ref="F8" display="查看" location="'题目总表'!A11"/>
    <hyperlink ref="E9" display="04_子串.ipynb" r:id="codexHyperlink7"/>
    <hyperlink ref="F9" display="查看" location="'题目总表'!A15"/>
    <hyperlink ref="E10" display="05_普通数组.ipynb" r:id="codexHyperlink9"/>
    <hyperlink ref="F10" display="查看" location="'题目总表'!A18"/>
    <hyperlink ref="E11" display="06_矩阵.ipynb" r:id="codexHyperlink11"/>
    <hyperlink ref="F11" display="查看" location="'题目总表'!A23"/>
    <hyperlink ref="E12" display="07_链表.ipynb" r:id="codexHyperlink13"/>
    <hyperlink ref="F12" display="查看" location="'题目总表'!A27"/>
    <hyperlink ref="E13" display="08_二叉树.ipynb" r:id="codexHyperlink15"/>
    <hyperlink ref="F13" display="查看" location="'题目总表'!A40"/>
    <hyperlink ref="E14" display="09_图论.ipynb" r:id="codexHyperlink17"/>
    <hyperlink ref="F14" display="查看" location="'题目总表'!A58"/>
    <hyperlink ref="E15" display="10_回溯.ipynb" r:id="codexHyperlink19"/>
    <hyperlink ref="F15" display="查看" location="'题目总表'!A61"/>
    <hyperlink ref="E16" display="11_二分查找.ipynb" r:id="codexHyperlink21"/>
    <hyperlink ref="F16" display="查看" location="'题目总表'!A69"/>
    <hyperlink ref="E17" display="12_栈.ipynb" r:id="codexHyperlink23"/>
    <hyperlink ref="F17" display="查看" location="'题目总表'!A75"/>
    <hyperlink ref="E18" display="13_堆.ipynb" r:id="codexHyperlink25"/>
    <hyperlink ref="F18" display="查看" location="'题目总表'!A79"/>
    <hyperlink ref="E19" display="14_贪心算法.ipynb" r:id="codexHyperlink27"/>
    <hyperlink ref="F19" display="查看" location="'题目总表'!A81"/>
    <hyperlink ref="E20" display="15_动态规划.ipynb" r:id="codexHyperlink29"/>
    <hyperlink ref="F20" display="查看" location="'题目总表'!A86"/>
    <hyperlink ref="E21" display="16_多维动态规划.ipynb" r:id="codexHyperlink31"/>
    <hyperlink ref="F21" display="查看" location="'题目总表'!A97"/>
    <hyperlink ref="E22" display="17_技巧.ipynb" r:id="codexHyperlink33"/>
    <hyperlink ref="F22" display="查看" location="'题目总表'!A105"/>
  </hyperlinks>
  <pageMargins left="0.7" right="0.7" top="0.75" bottom="0.75" header="0.3" footer="0.3"/>
</worksheet>
</file>

<file path=xl/worksheets/sheet2.xml><?xml version="1.0" encoding="utf-8"?>
<worksheet xmlns="http://schemas.openxmlformats.org/spreadsheetml/2006/main" xmlns:r="http://schemas.openxmlformats.org/officeDocument/2006/relationships">
  <sheetViews>
    <sheetView showGridLines="0" workbookViewId="0">
      <pane xSplit="4" ySplit="4" topLeftCell="E5" activePane="bottomRight" state="frozen"/>
    </sheetView>
  </sheetViews>
  <sheetFormatPr defaultRowHeight="15"/>
  <cols>
    <col min="1" max="1" width="15" hidden="0" customWidth="1"/>
    <col min="2" max="2" width="29" hidden="0" customWidth="1"/>
    <col min="3" max="3" width="8" hidden="0" customWidth="1"/>
    <col min="4" max="4" width="38" hidden="0" customWidth="1"/>
    <col min="5" max="5" width="27" hidden="0" customWidth="1"/>
    <col min="6" max="6" width="12" hidden="0" customWidth="1"/>
    <col min="7" max="7" width="23" hidden="0" customWidth="1"/>
    <col min="8" max="8" width="12" hidden="0" customWidth="1"/>
    <col min="9" max="9" width="9" hidden="0" customWidth="1"/>
    <col min="10" max="10" width="10" hidden="0" customWidth="1"/>
    <col min="11" max="11" width="14" hidden="0" customWidth="1"/>
    <col min="12" max="12" width="14" hidden="0" customWidth="1"/>
    <col min="13" max="13" width="70" hidden="0" customWidth="1"/>
    <col min="14" max="14" width="55" hidden="0" customWidth="1"/>
    <col min="15" max="15" width="20" hidden="0" customWidth="1"/>
    <col min="16" max="16" width="44" hidden="0" customWidth="1"/>
    <col min="17" max="17" width="76" hidden="0" customWidth="1"/>
    <col min="18" max="18" width="65" hidden="0" customWidth="1"/>
  </cols>
  <sheetData>
    <row r="1" ht="32" customHeight="1">
      <c r="A1" s="3" t="str">
        <v>LeetCode 题目总表</v>
      </c>
      <c r="B1" s="2"/>
      <c r="C1" s="2"/>
      <c r="D1" s="2"/>
      <c r="E1" s="2"/>
      <c r="F1" s="2"/>
      <c r="G1" s="2"/>
      <c r="H1" s="2"/>
      <c r="I1" s="2"/>
      <c r="J1" s="2"/>
      <c r="K1" s="2"/>
      <c r="L1" s="2"/>
      <c r="M1" s="2"/>
      <c r="N1" s="2"/>
      <c r="O1" s="2"/>
      <c r="P1" s="2"/>
      <c r="Q1" s="2"/>
      <c r="R1" s="2"/>
    </row>
    <row r="2">
      <c r="A2" s="2" t="str">
        <v>按官网分类排列；扩展题紧邻相关题。筛选分类或解法标签，点击题解文档后查找章节。</v>
      </c>
      <c r="B2" s="2"/>
      <c r="C2" s="2"/>
      <c r="D2" s="2"/>
      <c r="E2" s="2"/>
      <c r="F2" s="2"/>
      <c r="G2" s="2"/>
      <c r="H2" s="2"/>
      <c r="I2" s="2"/>
      <c r="J2" s="2"/>
      <c r="K2" s="2"/>
      <c r="L2" s="2"/>
      <c r="M2" s="2"/>
      <c r="N2" s="2"/>
      <c r="O2" s="2"/>
      <c r="P2" s="2"/>
      <c r="Q2" s="2"/>
      <c r="R2" s="2"/>
    </row>
    <row r="3">
      <c r="A3" s="2" t="str">
        <v>频次、状态、刷题次数可编辑；错题补充保留原始记录。</v>
      </c>
      <c r="B3" s="2"/>
      <c r="C3" s="2"/>
      <c r="D3" s="2"/>
      <c r="E3" s="2"/>
      <c r="F3" s="2"/>
      <c r="G3" s="2"/>
      <c r="H3" s="2"/>
      <c r="I3" s="2"/>
      <c r="J3" s="2"/>
      <c r="K3" s="2"/>
      <c r="L3" s="2"/>
      <c r="M3" s="2"/>
      <c r="N3" s="2"/>
      <c r="O3" s="2"/>
      <c r="P3" s="2"/>
      <c r="Q3" s="2"/>
      <c r="R3" s="2"/>
    </row>
    <row r="4" ht="30" customHeight="1">
      <c r="A4" s="6" t="str">
        <v>官网分类</v>
      </c>
      <c r="B4" s="6" t="str">
        <v>子专题</v>
      </c>
      <c r="C4" s="6" t="str">
        <v>题号</v>
      </c>
      <c r="D4" s="6" t="str">
        <v>题目</v>
      </c>
      <c r="E4" s="6" t="str">
        <v>题解文档</v>
      </c>
      <c r="F4" s="6" t="str">
        <v>章节</v>
      </c>
      <c r="G4" s="6" t="str">
        <v>笔记情况</v>
      </c>
      <c r="H4" s="6" t="str">
        <v>范围</v>
      </c>
      <c r="I4" s="6" t="str">
        <v>难度</v>
      </c>
      <c r="J4" s="6" t="str">
        <v>频次</v>
      </c>
      <c r="K4" s="6" t="str">
        <v>状态</v>
      </c>
      <c r="L4" s="6" t="str">
        <v>刷题次数</v>
      </c>
      <c r="M4" s="6" t="str">
        <v>解题思路与注意事项</v>
      </c>
      <c r="N4" s="6" t="str">
        <v>错题补充</v>
      </c>
      <c r="O4" s="6" t="str">
        <v>相关Hot100题</v>
      </c>
      <c r="P4" s="6" t="str">
        <v>解法标签</v>
      </c>
      <c r="Q4" s="6" t="str">
        <v>官网链接</v>
      </c>
      <c r="R4" s="6" t="str">
        <v>分类依据</v>
      </c>
    </row>
    <row r="5" ht="63" customHeight="1">
      <c r="A5" s="11" t="str">
        <v>哈希</v>
      </c>
      <c r="B5" s="11" t="str">
        <v>分组哈希</v>
      </c>
      <c r="C5" s="10" t="n">
        <v>49</v>
      </c>
      <c r="D5" s="9" t="str">
        <v>字母异位词分组</v>
      </c>
      <c r="E5" s="13" t="str">
        <v>01_哈希.ipynb</v>
      </c>
      <c r="F5" s="7" t="str">
        <v>lc-49</v>
      </c>
      <c r="G5" s="7" t="str">
        <v>已有详细笔记</v>
      </c>
      <c r="H5" s="7" t="str">
        <v>Hot100</v>
      </c>
      <c r="I5" s="7" t="str">
        <v>中等</v>
      </c>
      <c r="J5" s="12"/>
      <c r="K5" s="12"/>
      <c r="L5" s="12"/>
      <c r="M5" s="7" t="str">
        <v>if goal not in dict 与 if goal not in dict.keys()在性能上有较大区别，dict.keys()先生成一个字典键的列表，然后在这个列表里线性查找，时间复杂度为o(n),而in d…</v>
      </c>
      <c r="N5" s="7"/>
      <c r="O5" s="7" t="str"/>
      <c r="P5" s="7" t="str">
        <v>数组 / 哈希表 / 字符串 / 排序</v>
      </c>
      <c r="Q5" s="7" t="str">
        <v>https://leetcode.cn/problems/group-anagrams/</v>
      </c>
      <c r="R5" s="7" t="str">
        <v>LeetCode Hot100 官网题单分组</v>
      </c>
    </row>
    <row r="6" ht="63" customHeight="1">
      <c r="A6" s="7" t="str">
        <v>哈希</v>
      </c>
      <c r="B6" s="7" t="str">
        <v>集合查找</v>
      </c>
      <c r="C6" s="8" t="n">
        <v>128</v>
      </c>
      <c r="D6" s="7" t="str">
        <v>最长连续序列</v>
      </c>
      <c r="E6" s="13" t="str">
        <v>01_哈希.ipynb</v>
      </c>
      <c r="F6" s="7" t="str">
        <v>lc-128</v>
      </c>
      <c r="G6" s="7" t="str">
        <v>已有详细笔记</v>
      </c>
      <c r="H6" s="7" t="str">
        <v>Hot100</v>
      </c>
      <c r="I6" s="7" t="str">
        <v>中等</v>
      </c>
      <c r="J6" s="12"/>
      <c r="K6" s="12"/>
      <c r="L6" s="12"/>
      <c r="M6" s="7" t="str">
        <v>用 HashSet 实现 $O(1)$ 查找，只对“没有前驱数”的数字作为起点向后累加计算长度，确保每个数字最多只被遍历常数次，从而在 $O(n)$ 时间内找到最长连续序列。</v>
      </c>
      <c r="N6" s="7"/>
      <c r="O6" s="7" t="str"/>
      <c r="P6" s="7" t="str">
        <v>并查集 / 数组 / 哈希表</v>
      </c>
      <c r="Q6" s="7" t="str">
        <v>https://leetcode.cn/problems/longest-consecutive-sequence/</v>
      </c>
      <c r="R6" s="7" t="str">
        <v>LeetCode Hot100 官网题单分组</v>
      </c>
    </row>
    <row r="7" ht="48" customHeight="1">
      <c r="A7" s="11" t="str">
        <v>双指针</v>
      </c>
      <c r="B7" s="11" t="str">
        <v>同向双指针</v>
      </c>
      <c r="C7" s="10" t="n">
        <v>283</v>
      </c>
      <c r="D7" s="9" t="str">
        <v>移动零</v>
      </c>
      <c r="E7" s="13" t="str">
        <v>02_双指针.ipynb</v>
      </c>
      <c r="F7" s="7" t="str">
        <v>lc-283</v>
      </c>
      <c r="G7" s="7" t="str">
        <v>已有详细笔记</v>
      </c>
      <c r="H7" s="7" t="str">
        <v>Hot100</v>
      </c>
      <c r="I7" s="7" t="str">
        <v>简单</v>
      </c>
      <c r="J7" s="12"/>
      <c r="K7" s="12"/>
      <c r="L7" s="12"/>
      <c r="M7" s="7" t="str">
        <v>保证下标[left,right-1]区域都是0,其中left指向第一个0元素;当遇到一个非0数字后,将left与right位置元素互换;然后将left+1,保证该区间内仍是非0元素</v>
      </c>
      <c r="N7" s="7"/>
      <c r="O7" s="7" t="str"/>
      <c r="P7" s="7" t="str">
        <v>数组 / 双指针</v>
      </c>
      <c r="Q7" s="7" t="str">
        <v>https://leetcode.cn/problems/move-zeroes/</v>
      </c>
      <c r="R7" s="7" t="str">
        <v>LeetCode Hot100 官网题单分组</v>
      </c>
    </row>
    <row r="8" ht="48" customHeight="1">
      <c r="A8" s="7" t="str">
        <v>双指针</v>
      </c>
      <c r="B8" s="7" t="str">
        <v>相向双指针</v>
      </c>
      <c r="C8" s="8" t="n">
        <v>15</v>
      </c>
      <c r="D8" s="7" t="str">
        <v>三数之和</v>
      </c>
      <c r="E8" s="13" t="str">
        <v>02_双指针.ipynb</v>
      </c>
      <c r="F8" s="7" t="str">
        <v>lc-15</v>
      </c>
      <c r="G8" s="7" t="str">
        <v>已有详细笔记</v>
      </c>
      <c r="H8" s="7" t="str">
        <v>Hot100</v>
      </c>
      <c r="I8" s="7" t="str">
        <v>中等</v>
      </c>
      <c r="J8" s="12"/>
      <c r="K8" s="12"/>
      <c r="L8" s="12"/>
      <c r="M8" s="7" t="str">
        <v>固定第一个数x，剩余区间相向双指针；i、j、k 三处都要跳过重复元素去重;注意sum求和要写在循环里面</v>
      </c>
      <c r="N8" s="7"/>
      <c r="O8" s="7" t="str"/>
      <c r="P8" s="7" t="str">
        <v>数组 / 双指针 / 排序</v>
      </c>
      <c r="Q8" s="7" t="str">
        <v>https://leetcode.cn/problems/3sum/</v>
      </c>
      <c r="R8" s="7" t="str">
        <v>LeetCode Hot100 官网题单分组</v>
      </c>
    </row>
    <row r="9" ht="48" customHeight="1">
      <c r="A9" s="7" t="str">
        <v>双指针</v>
      </c>
      <c r="B9" s="7" t="str">
        <v>相向双指针</v>
      </c>
      <c r="C9" s="8" t="n">
        <v>167</v>
      </c>
      <c r="D9" s="7" t="str">
        <v>两数之和 II - 输入有序数组</v>
      </c>
      <c r="E9" s="13" t="str">
        <v>02_双指针.ipynb</v>
      </c>
      <c r="F9" s="7" t="str">
        <v>lc-167</v>
      </c>
      <c r="G9" s="7" t="str">
        <v>仅有表格摘要</v>
      </c>
      <c r="H9" s="7" t="str">
        <v>扩展题</v>
      </c>
      <c r="I9" s="7" t="str">
        <v>中等</v>
      </c>
      <c r="J9" s="12"/>
      <c r="K9" s="12"/>
      <c r="L9" s="12"/>
      <c r="M9" s="7" t="str">
        <v>相向双指针：数组有序，和&lt;target左指针右移，和&gt;target右指针左移（题目下标从1开始）</v>
      </c>
      <c r="N9" s="7"/>
      <c r="O9" s="7" t="str">
        <v>1、15</v>
      </c>
      <c r="P9" s="7" t="str">
        <v>相向双指针</v>
      </c>
      <c r="Q9" s="7" t="str">
        <v>https://leetcode.cn/problems/two-sum-ii-input-array-is-sorted/</v>
      </c>
      <c r="R9" s="7" t="str">
        <v>有序数组两数之和是三数之和内层双指针的基础。</v>
      </c>
    </row>
    <row r="10" ht="48" customHeight="1">
      <c r="A10" s="7" t="str">
        <v>双指针</v>
      </c>
      <c r="B10" s="7" t="str">
        <v>接雨水</v>
      </c>
      <c r="C10" s="8" t="n">
        <v>42</v>
      </c>
      <c r="D10" s="7" t="str">
        <v>接雨水</v>
      </c>
      <c r="E10" s="13" t="str">
        <v>02_双指针.ipynb</v>
      </c>
      <c r="F10" s="7" t="str">
        <v>lc-42</v>
      </c>
      <c r="G10" s="7" t="str">
        <v>已有详细笔记</v>
      </c>
      <c r="H10" s="7" t="str">
        <v>Hot100</v>
      </c>
      <c r="I10" s="7" t="str">
        <v>困难</v>
      </c>
      <c r="J10" s="12"/>
      <c r="K10" s="12"/>
      <c r="L10" s="12"/>
      <c r="M10" s="7" t="str">
        <v>三种解法：前后缀最大值 / 相向双指针 / 单调栈；每格存水量=min(左最高,右最高)-height</v>
      </c>
      <c r="N10" s="7"/>
      <c r="O10" s="7" t="str"/>
      <c r="P10" s="7" t="str">
        <v>相向双指针 / 前后缀 / 单调栈</v>
      </c>
      <c r="Q10" s="7" t="str">
        <v>https://leetcode.cn/problems/trapping-rain-water/</v>
      </c>
      <c r="R10" s="7" t="str">
        <v>LeetCode Hot100 官网题单分组</v>
      </c>
    </row>
    <row r="11" ht="97" customHeight="1">
      <c r="A11" s="11" t="str">
        <v>滑动窗口</v>
      </c>
      <c r="B11" s="11" t="str">
        <v>不定长窗口</v>
      </c>
      <c r="C11" s="10" t="n">
        <v>3</v>
      </c>
      <c r="D11" s="9" t="str">
        <v>无重复字符的最长子串</v>
      </c>
      <c r="E11" s="13" t="str">
        <v>03_滑动窗口.ipynb</v>
      </c>
      <c r="F11" s="7" t="str">
        <v>lc-3</v>
      </c>
      <c r="G11" s="7" t="str">
        <v>已有详细笔记</v>
      </c>
      <c r="H11" s="7" t="str">
        <v>Hot100</v>
      </c>
      <c r="I11" s="7" t="str">
        <v>中等</v>
      </c>
      <c r="J11" s="12"/>
      <c r="K11" s="12"/>
      <c r="L11" s="12"/>
      <c r="M11" s="7" t="str">
        <v>注意当题目要求返回长度的时候，不一定需要创建一个变量来记录长度，使用左右指针同样可以做到 要特别注意索引在求解数组，字符串长度时的重要作用 这个题是从不满足条件到满足条件，因此从循环退出来后再去判断子串的最大长度;同时注意是要判断最新进来的字符串计数是否超过1!而不是判断是否不等于1</v>
      </c>
      <c r="N11" s="7"/>
      <c r="O11" s="7" t="str"/>
      <c r="P11" s="7" t="str">
        <v>哈希表 / 字符串 / 滑动窗口</v>
      </c>
      <c r="Q11" s="7" t="str">
        <v>https://leetcode.cn/problems/longest-substring-without-repeating-characters/</v>
      </c>
      <c r="R11" s="7" t="str">
        <v>LeetCode Hot100 官网题单分组</v>
      </c>
    </row>
    <row r="12" ht="80" customHeight="1">
      <c r="A12" s="7" t="str">
        <v>滑动窗口</v>
      </c>
      <c r="B12" s="7" t="str">
        <v>不定长窗口</v>
      </c>
      <c r="C12" s="8" t="n">
        <v>209</v>
      </c>
      <c r="D12" s="7" t="str">
        <v>长度最小的子数组</v>
      </c>
      <c r="E12" s="13" t="str">
        <v>03_滑动窗口.ipynb</v>
      </c>
      <c r="F12" s="7" t="str">
        <v>lc-209</v>
      </c>
      <c r="G12" s="7" t="str">
        <v>已有详细笔记</v>
      </c>
      <c r="H12" s="7" t="str">
        <v>扩展题</v>
      </c>
      <c r="I12" s="7" t="str">
        <v>中等</v>
      </c>
      <c r="J12" s="12"/>
      <c r="K12" s="12"/>
      <c r="L12" s="12"/>
      <c r="M12" s="7" t="str">
        <v>（这个题进入循环意味着满足条件，因此在满足条件的情况下去判断数组长度的最小值） 对于这个题而言，一个很关键的条件是数组全是正整数，满足单调性，即数越多值越大，数越少值越小，所以可以使用不定长滑动窗口算法 左指针的移动原理…</v>
      </c>
      <c r="N12" s="7"/>
      <c r="O12" s="7" t="str">
        <v>3、76</v>
      </c>
      <c r="P12" s="7" t="str">
        <v>不定长窗口</v>
      </c>
      <c r="Q12" s="7" t="str">
        <v>https://leetcode.cn/problems/minimum-size-subarray-sum/</v>
      </c>
      <c r="R12" s="7" t="str">
        <v>正数子数组的窗口收缩，与无重复子串、覆盖窗口一起学习。</v>
      </c>
    </row>
    <row r="13" ht="48" customHeight="1">
      <c r="A13" s="7" t="str">
        <v>滑动窗口</v>
      </c>
      <c r="B13" s="7" t="str">
        <v>不定长窗口</v>
      </c>
      <c r="C13" s="8" t="n">
        <v>713</v>
      </c>
      <c r="D13" s="7" t="str">
        <v>乘积小于 K 的子数组</v>
      </c>
      <c r="E13" s="13" t="str">
        <v>03_滑动窗口.ipynb</v>
      </c>
      <c r="F13" s="7" t="str">
        <v>lc-713</v>
      </c>
      <c r="G13" s="7" t="str">
        <v>已有详细笔记</v>
      </c>
      <c r="H13" s="7" t="str">
        <v>扩展题</v>
      </c>
      <c r="I13" s="7" t="str">
        <v>中等</v>
      </c>
      <c r="J13" s="12"/>
      <c r="K13" s="12"/>
      <c r="L13" s="12"/>
      <c r="M13" s="7" t="str">
        <v>这个题也用到了单调性这个重要的概念，对于一个正数数组而言，数越多乘积越大，反之相反</v>
      </c>
      <c r="N13" s="7"/>
      <c r="O13" s="7" t="str">
        <v>3、438</v>
      </c>
      <c r="P13" s="7" t="str">
        <v>不定长窗口</v>
      </c>
      <c r="Q13" s="7" t="str">
        <v>https://leetcode.cn/problems/subarray-product-less-than-k/</v>
      </c>
      <c r="R13" s="7" t="str">
        <v>窗口内乘积约束与子数组计数，是滑动窗口的扩展。</v>
      </c>
    </row>
    <row r="14" ht="48" customHeight="1">
      <c r="A14" s="7" t="str">
        <v>滑动窗口</v>
      </c>
      <c r="B14" s="7" t="str">
        <v>异位词窗口</v>
      </c>
      <c r="C14" s="8" t="n">
        <v>438</v>
      </c>
      <c r="D14" s="7" t="str">
        <v>找到字符串中所有字母异位词</v>
      </c>
      <c r="E14" s="13" t="str">
        <v>03_滑动窗口.ipynb</v>
      </c>
      <c r="F14" s="7" t="str">
        <v>lc-438</v>
      </c>
      <c r="G14" s="7" t="str">
        <v>已有详细笔记</v>
      </c>
      <c r="H14" s="7" t="str">
        <v>Hot100</v>
      </c>
      <c r="I14" s="7" t="str">
        <v>中等</v>
      </c>
      <c r="J14" s="12"/>
      <c r="K14" s="12"/>
      <c r="L14" s="12"/>
      <c r="M14" s="7" t="str">
        <v>（定长滑动窗口） 思路就是先构建一个定长滑动窗口，然后逐渐加入右边的值，删除左边的值，保证滑动窗口的长度不变，然后进行判断</v>
      </c>
      <c r="N14" s="7"/>
      <c r="O14" s="7" t="str"/>
      <c r="P14" s="7" t="str">
        <v>哈希表 / 字符串 / 滑动窗口</v>
      </c>
      <c r="Q14" s="7" t="str">
        <v>https://leetcode.cn/problems/find-all-anagrams-in-a-string/</v>
      </c>
      <c r="R14" s="7" t="str">
        <v>LeetCode Hot100 官网题单分组</v>
      </c>
    </row>
    <row r="15" ht="63" customHeight="1">
      <c r="A15" s="11" t="str">
        <v>子串</v>
      </c>
      <c r="B15" s="11" t="str">
        <v>前缀和与计数</v>
      </c>
      <c r="C15" s="10" t="n">
        <v>560</v>
      </c>
      <c r="D15" s="9" t="str">
        <v>和为 K 的子数组</v>
      </c>
      <c r="E15" s="13" t="str">
        <v>04_子串.ipynb</v>
      </c>
      <c r="F15" s="7" t="str">
        <v>lc-560</v>
      </c>
      <c r="G15" s="7" t="str">
        <v>已有详细笔记</v>
      </c>
      <c r="H15" s="7" t="str">
        <v>Hot100</v>
      </c>
      <c r="I15" s="7" t="str">
        <v>中等</v>
      </c>
      <c r="J15" s="12"/>
      <c r="K15" s="12"/>
      <c r="L15" s="12"/>
      <c r="M15" s="7" t="str">
        <v>这个题不能采用滑动窗口算法，因为不满足单调性，数组中存在负数，思路与二叉树中的路径之和III相似，使用哈希表与前缀求和的方式，具体参考路径之和III。</v>
      </c>
      <c r="N15" s="7" t="str">
        <v>做错一次,彻底没有想起来</v>
      </c>
      <c r="O15" s="7" t="str"/>
      <c r="P15" s="7" t="str">
        <v>数组 / 哈希表 / 前缀和</v>
      </c>
      <c r="Q15" s="7" t="str">
        <v>https://leetcode.cn/problems/subarray-sum-equals-k/</v>
      </c>
      <c r="R15" s="7" t="str">
        <v>LeetCode Hot100 官网题单分组</v>
      </c>
    </row>
    <row r="16" ht="80" customHeight="1">
      <c r="A16" s="7" t="str">
        <v>子串</v>
      </c>
      <c r="B16" s="7" t="str">
        <v>单调队列窗口</v>
      </c>
      <c r="C16" s="8" t="n">
        <v>239</v>
      </c>
      <c r="D16" s="7" t="str">
        <v>滑动窗口最大值</v>
      </c>
      <c r="E16" s="13" t="str">
        <v>04_子串.ipynb</v>
      </c>
      <c r="F16" s="7" t="str">
        <v>lc-239</v>
      </c>
      <c r="G16" s="7" t="str">
        <v>已有详细笔记</v>
      </c>
      <c r="H16" s="7" t="str">
        <v>Hot100</v>
      </c>
      <c r="I16" s="7" t="str">
        <v>困难</v>
      </c>
      <c r="J16" s="12"/>
      <c r="K16" s="12"/>
      <c r="L16" s="12"/>
      <c r="M16" s="7" t="str">
        <v>算法的核心思想是维护一个单调递减的队列，当新元素的值大于等于队尾的值的时候，那么末尾元素就不可能作为后续的最大值了，（但这个元素可能作为以它为结尾的最大值，但后续因为滑动窗口始终包含新旧元素，因此旧元素不可能是最大…</v>
      </c>
      <c r="N16" s="7" t="str">
        <v>最近一次做错,条件应该是i - queue[0] == k,而不是k-1</v>
      </c>
      <c r="O16" s="7" t="str"/>
      <c r="P16" s="7" t="str">
        <v>滑动窗口 / 单调队列</v>
      </c>
      <c r="Q16" s="7" t="str">
        <v>https://leetcode.cn/problems/sliding-window-maximum/</v>
      </c>
      <c r="R16" s="7" t="str">
        <v>LeetCode Hot100 官网题单分组</v>
      </c>
    </row>
    <row r="17" ht="80" customHeight="1">
      <c r="A17" s="7" t="str">
        <v>子串</v>
      </c>
      <c r="B17" s="7" t="str">
        <v>覆盖窗口</v>
      </c>
      <c r="C17" s="8" t="n">
        <v>76</v>
      </c>
      <c r="D17" s="7" t="str">
        <v>最小覆盖子串</v>
      </c>
      <c r="E17" s="13" t="str">
        <v>04_子串.ipynb</v>
      </c>
      <c r="F17" s="7" t="str">
        <v>lc-76</v>
      </c>
      <c r="G17" s="7" t="str">
        <v>已有详细笔记</v>
      </c>
      <c r="H17" s="7" t="str">
        <v>Hot100</v>
      </c>
      <c r="I17" s="7" t="str">
        <v>困难</v>
      </c>
      <c r="J17" s="12"/>
      <c r="K17" s="12"/>
      <c r="L17" s="12"/>
      <c r="M17" s="7" t="str">
        <v>不定长滑动窗口的思路,内部循环是从满足条件到不满足条件,使用diff来统计当前窗口中 c 的数量 − t 中 c 的数量;使用ge_num来统计s是否覆盖t,当要删除左侧元素也就是left的时候,首先要判断diff[left] == 0,如果成立的话说明删除后s中对应的字符串数量小于t中,应该将ge_num-1.</v>
      </c>
      <c r="N17" s="7" t="str">
        <v>最近一次做错,当判断当前滑动窗口左侧的元素对应数值为0是,应该使用s[left]而不是left</v>
      </c>
      <c r="O17" s="7" t="str"/>
      <c r="P17" s="7" t="str">
        <v>滑动窗口 / 哈希</v>
      </c>
      <c r="Q17" s="7" t="str">
        <v>https://leetcode.cn/problems/minimum-window-substring/</v>
      </c>
      <c r="R17" s="7" t="str">
        <v>LeetCode Hot100 官网题单分组</v>
      </c>
    </row>
    <row r="18" ht="63" customHeight="1">
      <c r="A18" s="11" t="str">
        <v>普通数组</v>
      </c>
      <c r="B18" s="11" t="str">
        <v>连续子数组</v>
      </c>
      <c r="C18" s="10" t="n">
        <v>53</v>
      </c>
      <c r="D18" s="9" t="str">
        <v>最大子数组和</v>
      </c>
      <c r="E18" s="13" t="str">
        <v>05_普通数组.ipynb</v>
      </c>
      <c r="F18" s="7" t="str">
        <v>lc-53</v>
      </c>
      <c r="G18" s="7" t="str">
        <v>已有详细笔记</v>
      </c>
      <c r="H18" s="7" t="str">
        <v>Hot100</v>
      </c>
      <c r="I18" s="7" t="str">
        <v>中等</v>
      </c>
      <c r="J18" s="12"/>
      <c r="K18" s="12"/>
      <c r="L18" s="12"/>
      <c r="M18" s="7" t="str">
        <v>Kadane算法的核心思想是：动态规划 遍历数组，对于每个位置，决定是继续扩展当前子数组，还是从当前位置开始新的子数组 通过比较"当前元素值"与"当前元素值+之前子数组和"来做出决策</v>
      </c>
      <c r="N18" s="7"/>
      <c r="O18" s="7" t="str"/>
      <c r="P18" s="7" t="str">
        <v>动态规划 / 普通数组</v>
      </c>
      <c r="Q18" s="7" t="str">
        <v>https://leetcode.cn/problems/maximum-subarray/</v>
      </c>
      <c r="R18" s="7" t="str">
        <v>LeetCode Hot100 官网题单分组</v>
      </c>
    </row>
    <row r="19" ht="48" customHeight="1">
      <c r="A19" s="7" t="str">
        <v>普通数组</v>
      </c>
      <c r="B19" s="7" t="str">
        <v>区间合并</v>
      </c>
      <c r="C19" s="8" t="n">
        <v>56</v>
      </c>
      <c r="D19" s="7" t="str">
        <v>合并区间</v>
      </c>
      <c r="E19" s="13" t="str">
        <v>05_普通数组.ipynb</v>
      </c>
      <c r="F19" s="7" t="str">
        <v>lc-56</v>
      </c>
      <c r="G19" s="7" t="str">
        <v>已有详细笔记</v>
      </c>
      <c r="H19" s="7" t="str">
        <v>Hot100</v>
      </c>
      <c r="I19" s="7" t="str">
        <v>中等</v>
      </c>
      <c r="J19" s="12"/>
      <c r="K19" s="12"/>
      <c r="L19" s="12"/>
      <c r="M19" s="7" t="str">
        <v>当需要合并的时候，不用考虑将元素弹出再将新的元素加入，只需将数组最后一个元素的值进行更改即可</v>
      </c>
      <c r="N19" s="7"/>
      <c r="O19" s="7" t="str"/>
      <c r="P19" s="7" t="str">
        <v>数组 / 排序</v>
      </c>
      <c r="Q19" s="7" t="str">
        <v>https://leetcode.cn/problems/merge-intervals/</v>
      </c>
      <c r="R19" s="7" t="str">
        <v>LeetCode Hot100 官网题单分组</v>
      </c>
    </row>
    <row r="20" ht="48" customHeight="1">
      <c r="A20" s="7" t="str">
        <v>普通数组</v>
      </c>
      <c r="B20" s="7" t="str">
        <v>原地变换</v>
      </c>
      <c r="C20" s="8" t="n">
        <v>189</v>
      </c>
      <c r="D20" s="7" t="str">
        <v>轮转数组</v>
      </c>
      <c r="E20" s="13" t="str">
        <v>05_普通数组.ipynb</v>
      </c>
      <c r="F20" s="7" t="str">
        <v>lc-189</v>
      </c>
      <c r="G20" s="7" t="str">
        <v>已有详细笔记</v>
      </c>
      <c r="H20" s="7" t="str">
        <v>Hot100</v>
      </c>
      <c r="I20" s="7" t="str">
        <v>中等</v>
      </c>
      <c r="J20" s="12"/>
      <c r="K20" s="12"/>
      <c r="L20" s="12"/>
      <c r="M20" s="7" t="str">
        <v>1. nums[:] = nums[length-k:]+nums[:length-k] 2. nums = nums[length-k:]+nums[:length-k] 这是两个完全不同的操作，操作1对nums指向的…</v>
      </c>
      <c r="N20" s="7"/>
      <c r="O20" s="7" t="str"/>
      <c r="P20" s="7" t="str">
        <v>数组 / 数学 / 双指针</v>
      </c>
      <c r="Q20" s="7" t="str">
        <v>https://leetcode.cn/problems/rotate-array/</v>
      </c>
      <c r="R20" s="7" t="str">
        <v>LeetCode Hot100 官网题单分组</v>
      </c>
    </row>
    <row r="21" ht="48" customHeight="1">
      <c r="A21" s="7" t="str">
        <v>普通数组</v>
      </c>
      <c r="B21" s="7" t="str">
        <v>前后缀乘积</v>
      </c>
      <c r="C21" s="8" t="n">
        <v>238</v>
      </c>
      <c r="D21" s="7" t="str">
        <v>除了自身以外数组的乘积</v>
      </c>
      <c r="E21" s="13" t="str">
        <v>05_普通数组.ipynb</v>
      </c>
      <c r="F21" s="7" t="str">
        <v>lc-238</v>
      </c>
      <c r="G21" s="7" t="str">
        <v>已有详细笔记</v>
      </c>
      <c r="H21" s="7" t="str">
        <v>Hot100</v>
      </c>
      <c r="I21" s="7" t="str">
        <v>中等</v>
      </c>
      <c r="J21" s="12"/>
      <c r="K21" s="12"/>
      <c r="L21" s="12"/>
      <c r="M21" s="7" t="str">
        <v>思路：求每个数组元素的前缀与后缀乘积，然后令前后缀相乘</v>
      </c>
      <c r="N21" s="7"/>
      <c r="O21" s="7" t="str"/>
      <c r="P21" s="7" t="str">
        <v>数组 / 前缀和</v>
      </c>
      <c r="Q21" s="7" t="str">
        <v>https://leetcode.cn/problems/product-of-array-except-self/</v>
      </c>
      <c r="R21" s="7" t="str">
        <v>LeetCode Hot100 官网题单分组</v>
      </c>
    </row>
    <row r="22" ht="63" customHeight="1">
      <c r="A22" s="7" t="str">
        <v>普通数组</v>
      </c>
      <c r="B22" s="7" t="str">
        <v>原地哈希</v>
      </c>
      <c r="C22" s="8" t="n">
        <v>41</v>
      </c>
      <c r="D22" s="7" t="str">
        <v>缺失的第一个正数</v>
      </c>
      <c r="E22" s="13" t="str">
        <v>05_普通数组.ipynb</v>
      </c>
      <c r="F22" s="7" t="str">
        <v>lc-41</v>
      </c>
      <c r="G22" s="7" t="str">
        <v>已有详细笔记</v>
      </c>
      <c r="H22" s="7" t="str">
        <v>Hot100</v>
      </c>
      <c r="I22" s="7" t="str">
        <v>困难</v>
      </c>
      <c r="J22" s="12"/>
      <c r="K22" s="12"/>
      <c r="L22" s="12"/>
      <c r="M22" s="7" t="str">
        <v>思想： 看学号为1到n的学生是否坐在了0到n-1的位置上 对于一个长度为n的数组，它的索引范围为[0,n-1],缺失的第一个正数一定在[1,n+1]的范围内，所以对于一个学号为nums[i]的学生，他应该坐在nums[i…</v>
      </c>
      <c r="N22" s="7"/>
      <c r="O22" s="7" t="str"/>
      <c r="P22" s="7" t="str">
        <v>数组 / 哈希表</v>
      </c>
      <c r="Q22" s="7" t="str">
        <v>https://leetcode.cn/problems/first-missing-positive/</v>
      </c>
      <c r="R22" s="7" t="str">
        <v>LeetCode Hot100 官网题单分组</v>
      </c>
    </row>
    <row r="23" ht="48" customHeight="1">
      <c r="A23" s="11" t="str">
        <v>矩阵</v>
      </c>
      <c r="B23" s="11" t="str">
        <v>标记置零</v>
      </c>
      <c r="C23" s="10" t="n">
        <v>73</v>
      </c>
      <c r="D23" s="9" t="str">
        <v>矩阵置零</v>
      </c>
      <c r="E23" s="13" t="str">
        <v>06_矩阵.ipynb</v>
      </c>
      <c r="F23" s="7" t="str">
        <v>lc-73</v>
      </c>
      <c r="G23" s="7" t="str">
        <v>已有详细笔记</v>
      </c>
      <c r="H23" s="7" t="str">
        <v>Hot100</v>
      </c>
      <c r="I23" s="7" t="str">
        <v>中等</v>
      </c>
      <c r="J23" s="12"/>
      <c r="K23" s="12"/>
      <c r="L23" s="12"/>
      <c r="M23" s="7" t="str">
        <v>用首行首列作为标记数组记录含0的行列，再二次遍历置零；注意首行首列本身要先处理</v>
      </c>
      <c r="N23" s="7"/>
      <c r="O23" s="7" t="str"/>
      <c r="P23" s="7" t="str">
        <v>数组 / 哈希表 / 矩阵</v>
      </c>
      <c r="Q23" s="7" t="str">
        <v>https://leetcode.cn/problems/set-matrix-zeroes/</v>
      </c>
      <c r="R23" s="7" t="str">
        <v>LeetCode Hot100 官网题单分组</v>
      </c>
    </row>
    <row r="24" ht="48" customHeight="1">
      <c r="A24" s="7" t="str">
        <v>矩阵</v>
      </c>
      <c r="B24" s="7" t="str">
        <v>边界模拟</v>
      </c>
      <c r="C24" s="8" t="n">
        <v>54</v>
      </c>
      <c r="D24" s="7" t="str">
        <v>螺旋矩阵</v>
      </c>
      <c r="E24" s="13" t="str">
        <v>06_矩阵.ipynb</v>
      </c>
      <c r="F24" s="7" t="str">
        <v>lc-54</v>
      </c>
      <c r="G24" s="7" t="str">
        <v>已有详细笔记</v>
      </c>
      <c r="H24" s="7" t="str">
        <v>Hot100</v>
      </c>
      <c r="I24" s="7" t="str">
        <v>中等</v>
      </c>
      <c r="J24" s="12"/>
      <c r="K24" s="12"/>
      <c r="L24" s="12"/>
      <c r="M24" s="7" t="str">
        <v>按上、右、下、左四条边界循环收缩；防止m*n为奇数时中心元素遗漏</v>
      </c>
      <c r="N24" s="7"/>
      <c r="O24" s="7" t="str"/>
      <c r="P24" s="7" t="str">
        <v>数组 / 矩阵 / 模拟</v>
      </c>
      <c r="Q24" s="7" t="str">
        <v>https://leetcode.cn/problems/spiral-matrix/</v>
      </c>
      <c r="R24" s="7" t="str">
        <v>LeetCode Hot100 官网题单分组</v>
      </c>
    </row>
    <row r="25" ht="48" customHeight="1">
      <c r="A25" s="7" t="str">
        <v>矩阵</v>
      </c>
      <c r="B25" s="7" t="str">
        <v>转置与反转</v>
      </c>
      <c r="C25" s="8" t="n">
        <v>48</v>
      </c>
      <c r="D25" s="7" t="str">
        <v>旋转图像</v>
      </c>
      <c r="E25" s="13" t="str">
        <v>06_矩阵.ipynb</v>
      </c>
      <c r="F25" s="7" t="str">
        <v>lc-48</v>
      </c>
      <c r="G25" s="7" t="str">
        <v>已有详细笔记</v>
      </c>
      <c r="H25" s="7" t="str">
        <v>Hot100</v>
      </c>
      <c r="I25" s="7" t="str">
        <v>中等</v>
      </c>
      <c r="J25" s="12"/>
      <c r="K25" s="12"/>
      <c r="L25" s="12"/>
      <c r="M25" s="7" t="str">
        <v>先转置（沿主对角线），再逐行反转</v>
      </c>
      <c r="N25" s="7"/>
      <c r="O25" s="7" t="str"/>
      <c r="P25" s="7" t="str">
        <v>数组 / 数学 / 矩阵</v>
      </c>
      <c r="Q25" s="7" t="str">
        <v>https://leetcode.cn/problems/rotate-image/</v>
      </c>
      <c r="R25" s="7" t="str">
        <v>LeetCode Hot100 官网题单分组</v>
      </c>
    </row>
    <row r="26" ht="48" customHeight="1">
      <c r="A26" s="7" t="str">
        <v>矩阵</v>
      </c>
      <c r="B26" s="7" t="str">
        <v>二维有序查找</v>
      </c>
      <c r="C26" s="8" t="n">
        <v>240</v>
      </c>
      <c r="D26" s="7" t="str">
        <v>搜索二维矩阵 II</v>
      </c>
      <c r="E26" s="13" t="str">
        <v>06_矩阵.ipynb</v>
      </c>
      <c r="F26" s="7" t="str">
        <v>lc-240</v>
      </c>
      <c r="G26" s="7" t="str">
        <v>已有详细笔记</v>
      </c>
      <c r="H26" s="7" t="str">
        <v>Hot100</v>
      </c>
      <c r="I26" s="7" t="str">
        <v>中等</v>
      </c>
      <c r="J26" s="12"/>
      <c r="K26" s="12"/>
      <c r="L26" s="12"/>
      <c r="M26" s="7" t="str">
        <v>行、列分别有序，从右上角逐行或逐列排除；区别于74题的整体有序条件。</v>
      </c>
      <c r="N26" s="7"/>
      <c r="O26" s="7" t="str"/>
      <c r="P26" s="7" t="str">
        <v>数组 / 二分查找 / 分治 / 矩阵</v>
      </c>
      <c r="Q26" s="7" t="str">
        <v>https://leetcode.cn/problems/search-a-2d-matrix-ii/</v>
      </c>
      <c r="R26" s="7" t="str">
        <v>LeetCode Hot100 官网题单分组</v>
      </c>
    </row>
    <row r="27" ht="63" customHeight="1">
      <c r="A27" s="11" t="str">
        <v>链表</v>
      </c>
      <c r="B27" s="11" t="str">
        <v>相交与环</v>
      </c>
      <c r="C27" s="10" t="n">
        <v>160</v>
      </c>
      <c r="D27" s="9" t="str">
        <v>相交链表</v>
      </c>
      <c r="E27" s="13" t="str">
        <v>07_链表.ipynb</v>
      </c>
      <c r="F27" s="7" t="str">
        <v>lc-160</v>
      </c>
      <c r="G27" s="7" t="str">
        <v>已有详细笔记</v>
      </c>
      <c r="H27" s="7" t="str">
        <v>Hot100</v>
      </c>
      <c r="I27" s="7" t="str">
        <v>简单</v>
      </c>
      <c r="J27" s="12"/>
      <c r="K27" s="12"/>
      <c r="L27" s="12"/>
      <c r="M27" s="7" t="str">
        <v>使用集合而非列表存储节点，因为在后续的环节，使用列表的话时间复杂度为0(n),而对于集合而言，时间复杂度为0(1),对于集合与字典而言，哪怕是值与后继都相同的两个节点，地址不同的话仍然可以存放进去。 if right i…</v>
      </c>
      <c r="N27" s="7"/>
      <c r="O27" s="7" t="str"/>
      <c r="P27" s="7" t="str">
        <v>哈希表 / 链表 / 双指针</v>
      </c>
      <c r="Q27" s="7" t="str">
        <v>https://leetcode.cn/problems/intersection-of-two-linked-lists/</v>
      </c>
      <c r="R27" s="7" t="str">
        <v>LeetCode Hot100 官网题单分组</v>
      </c>
    </row>
    <row r="28" ht="48" customHeight="1">
      <c r="A28" s="7" t="str">
        <v>链表</v>
      </c>
      <c r="B28" s="7" t="str">
        <v>链表反转</v>
      </c>
      <c r="C28" s="8" t="n">
        <v>206</v>
      </c>
      <c r="D28" s="7" t="str">
        <v>反转链表</v>
      </c>
      <c r="E28" s="13" t="str">
        <v>07_链表.ipynb</v>
      </c>
      <c r="F28" s="7" t="str">
        <v>lc-206</v>
      </c>
      <c r="G28" s="7" t="str">
        <v>仅有标题与摘要</v>
      </c>
      <c r="H28" s="7" t="str">
        <v>Hot100</v>
      </c>
      <c r="I28" s="7" t="str">
        <v>简单</v>
      </c>
      <c r="J28" s="12"/>
      <c r="K28" s="12"/>
      <c r="L28" s="12"/>
      <c r="M28" s="7" t="str">
        <v>迭代：prev/curr指针逐个反转next；递归：先反转后续，再 head.next.next=head</v>
      </c>
      <c r="N28" s="7"/>
      <c r="O28" s="7" t="str"/>
      <c r="P28" s="7" t="str">
        <v>递归 / 链表</v>
      </c>
      <c r="Q28" s="7" t="str">
        <v>https://leetcode.cn/problems/reverse-linked-list/</v>
      </c>
      <c r="R28" s="7" t="str">
        <v>LeetCode Hot100 官网题单分组</v>
      </c>
    </row>
    <row r="29" ht="48" customHeight="1">
      <c r="A29" s="7" t="str">
        <v>链表</v>
      </c>
      <c r="B29" s="7" t="str">
        <v>快慢指针</v>
      </c>
      <c r="C29" s="8" t="n">
        <v>234</v>
      </c>
      <c r="D29" s="7" t="str">
        <v>回文链表</v>
      </c>
      <c r="E29" s="13" t="str">
        <v>07_链表.ipynb</v>
      </c>
      <c r="F29" s="7" t="str">
        <v>lc-234</v>
      </c>
      <c r="G29" s="7" t="str">
        <v>已有详细笔记</v>
      </c>
      <c r="H29" s="7" t="str">
        <v>Hot100</v>
      </c>
      <c r="I29" s="7" t="str">
        <v>简单</v>
      </c>
      <c r="J29" s="12"/>
      <c r="K29" s="12"/>
      <c r="L29" s="12"/>
      <c r="M29" s="7" t="str">
        <v>回文链表问题使用快慢指针方法解答最优，其中，慢指针每次走一步，快指针每次走两步。</v>
      </c>
      <c r="N29" s="7"/>
      <c r="O29" s="7" t="str"/>
      <c r="P29" s="7" t="str">
        <v>栈 / 递归 / 链表 / 双指针</v>
      </c>
      <c r="Q29" s="7" t="str">
        <v>https://leetcode.cn/problems/palindrome-linked-list/</v>
      </c>
      <c r="R29" s="7" t="str">
        <v>LeetCode Hot100 官网题单分组</v>
      </c>
    </row>
    <row r="30" ht="48" customHeight="1">
      <c r="A30" s="7" t="str">
        <v>链表</v>
      </c>
      <c r="B30" s="7" t="str">
        <v>相交与环</v>
      </c>
      <c r="C30" s="8" t="n">
        <v>141</v>
      </c>
      <c r="D30" s="7" t="str">
        <v>环形链表</v>
      </c>
      <c r="E30" s="13" t="str">
        <v>07_链表.ipynb</v>
      </c>
      <c r="F30" s="7" t="str">
        <v>lc-141</v>
      </c>
      <c r="G30" s="7" t="str">
        <v>已有详细笔记</v>
      </c>
      <c r="H30" s="7" t="str">
        <v>Hot100</v>
      </c>
      <c r="I30" s="7" t="str">
        <v>简单</v>
      </c>
      <c r="J30" s="12"/>
      <c r="K30" s="12"/>
      <c r="L30" s="12"/>
      <c r="M30" s="7" t="str">
        <v>佛洛依德判圈算法：使用快慢指针检测是否存在环，快指针每次走两步，慢指针每次走一步，如果最终快指针追上慢指针，证明有环。</v>
      </c>
      <c r="N30" s="7"/>
      <c r="O30" s="7" t="str"/>
      <c r="P30" s="7" t="str">
        <v>哈希表 / 链表 / 双指针</v>
      </c>
      <c r="Q30" s="7" t="str">
        <v>https://leetcode.cn/problems/linked-list-cycle/</v>
      </c>
      <c r="R30" s="7" t="str">
        <v>LeetCode Hot100 官网题单分组</v>
      </c>
    </row>
    <row r="31" ht="48" customHeight="1">
      <c r="A31" s="7" t="str">
        <v>链表</v>
      </c>
      <c r="B31" s="7" t="str">
        <v>相交与环</v>
      </c>
      <c r="C31" s="8" t="n">
        <v>142</v>
      </c>
      <c r="D31" s="7" t="str">
        <v>环形链表 II</v>
      </c>
      <c r="E31" s="13" t="str">
        <v>07_链表.ipynb</v>
      </c>
      <c r="F31" s="7" t="str">
        <v>lc-142</v>
      </c>
      <c r="G31" s="7" t="str">
        <v>已有详细笔记</v>
      </c>
      <c r="H31" s="7" t="str">
        <v>Hot100</v>
      </c>
      <c r="I31" s="7" t="str">
        <v>中等</v>
      </c>
      <c r="J31" s="12"/>
      <c r="K31" s="12"/>
      <c r="L31" s="12"/>
      <c r="M31" s="7" t="str">
        <v>详见题解</v>
      </c>
      <c r="N31" s="7"/>
      <c r="O31" s="7" t="str"/>
      <c r="P31" s="7" t="str">
        <v>哈希表 / 链表 / 双指针</v>
      </c>
      <c r="Q31" s="7" t="str">
        <v>https://leetcode.cn/problems/linked-list-cycle-ii/</v>
      </c>
      <c r="R31" s="7" t="str">
        <v>LeetCode Hot100 官网题单分组</v>
      </c>
    </row>
    <row r="32" ht="48" customHeight="1">
      <c r="A32" s="7" t="str">
        <v>链表</v>
      </c>
      <c r="B32" s="7" t="str">
        <v>数位运算</v>
      </c>
      <c r="C32" s="8" t="n">
        <v>2</v>
      </c>
      <c r="D32" s="7" t="str">
        <v>两数相加</v>
      </c>
      <c r="E32" s="13" t="str">
        <v>07_链表.ipynb</v>
      </c>
      <c r="F32" s="7" t="str">
        <v>lc-2</v>
      </c>
      <c r="G32" s="7" t="str">
        <v>已有详细笔记</v>
      </c>
      <c r="H32" s="7" t="str">
        <v>Hot100</v>
      </c>
      <c r="I32" s="7" t="str">
        <v>中等</v>
      </c>
      <c r="J32" s="12"/>
      <c r="K32" s="12"/>
      <c r="L32" s="12"/>
      <c r="M32" s="7" t="str">
        <v>注意l1.val以及l1.next的赋值方法,里面包含判断,二者紧密结合</v>
      </c>
      <c r="N32" s="7"/>
      <c r="O32" s="7" t="str"/>
      <c r="P32" s="7" t="str">
        <v>递归 / 链表 / 数学</v>
      </c>
      <c r="Q32" s="7" t="str">
        <v>https://leetcode.cn/problems/add-two-numbers/</v>
      </c>
      <c r="R32" s="7" t="str">
        <v>LeetCode Hot100 官网题单分组</v>
      </c>
    </row>
    <row r="33" ht="48" customHeight="1">
      <c r="A33" s="7" t="str">
        <v>链表</v>
      </c>
      <c r="B33" s="7" t="str">
        <v>快慢指针</v>
      </c>
      <c r="C33" s="8" t="n">
        <v>19</v>
      </c>
      <c r="D33" s="7" t="str">
        <v>删除链表的倒数第 N 个结点</v>
      </c>
      <c r="E33" s="13" t="str">
        <v>07_链表.ipynb</v>
      </c>
      <c r="F33" s="7" t="str">
        <v>lc-19</v>
      </c>
      <c r="G33" s="7" t="str">
        <v>仅有表格摘要</v>
      </c>
      <c r="H33" s="7" t="str">
        <v>Hot100</v>
      </c>
      <c r="I33" s="7" t="str">
        <v>中等</v>
      </c>
      <c r="J33" s="12"/>
      <c r="K33" s="12"/>
      <c r="L33" s="12"/>
      <c r="M33" s="7" t="str">
        <v>dummy节点的使用,同时注意当右指针指向最后一个结点的时候,左指针指向的是倒数第(1+n)个节点,也就是说左指针的下一个节点就是倒数第n个节点</v>
      </c>
      <c r="N33" s="7"/>
      <c r="O33" s="7" t="str"/>
      <c r="P33" s="7" t="str">
        <v>链表 / 双指针</v>
      </c>
      <c r="Q33" s="7" t="str">
        <v>https://leetcode.cn/problems/remove-nth-node-from-end-of-list/</v>
      </c>
      <c r="R33" s="7" t="str">
        <v>LeetCode Hot100 官网题单分组</v>
      </c>
    </row>
    <row r="34" ht="48" customHeight="1">
      <c r="A34" s="7" t="str">
        <v>链表</v>
      </c>
      <c r="B34" s="7" t="str">
        <v>节点交换</v>
      </c>
      <c r="C34" s="8" t="n">
        <v>24</v>
      </c>
      <c r="D34" s="7" t="str">
        <v>两两交换链表中的节点</v>
      </c>
      <c r="E34" s="13" t="str">
        <v>07_链表.ipynb</v>
      </c>
      <c r="F34" s="7" t="str">
        <v>lc-24</v>
      </c>
      <c r="G34" s="7" t="str">
        <v>已有详细笔记</v>
      </c>
      <c r="H34" s="7" t="str">
        <v>Hot100</v>
      </c>
      <c r="I34" s="7" t="str">
        <v>中等</v>
      </c>
      <c r="J34" s="12"/>
      <c r="K34" s="12"/>
      <c r="L34" s="12"/>
      <c r="M34" s="7" t="str">
        <v>需要dummy节点；pre指向每组前驱，两两交换a、b后移动指针</v>
      </c>
      <c r="N34" s="7"/>
      <c r="O34" s="7" t="str"/>
      <c r="P34" s="7" t="str">
        <v>递归 / 链表</v>
      </c>
      <c r="Q34" s="7" t="str">
        <v>https://leetcode.cn/problems/swap-nodes-in-pairs/</v>
      </c>
      <c r="R34" s="7" t="str">
        <v>LeetCode Hot100 官网题单分组</v>
      </c>
    </row>
    <row r="35" ht="48" customHeight="1">
      <c r="A35" s="7" t="str">
        <v>链表</v>
      </c>
      <c r="B35" s="7" t="str">
        <v>链表反转</v>
      </c>
      <c r="C35" s="8" t="n">
        <v>25</v>
      </c>
      <c r="D35" s="7" t="str">
        <v>K 个一组翻转链表</v>
      </c>
      <c r="E35" s="13" t="str">
        <v>07_链表.ipynb</v>
      </c>
      <c r="F35" s="7" t="str">
        <v>lc-25</v>
      </c>
      <c r="G35" s="7" t="str">
        <v>已有详细笔记</v>
      </c>
      <c r="H35" s="7" t="str">
        <v>Hot100</v>
      </c>
      <c r="I35" s="7" t="str">
        <v>困难</v>
      </c>
      <c r="J35" s="12"/>
      <c r="K35" s="12"/>
      <c r="L35" s="12"/>
      <c r="M35" s="7" t="str">
        <v>注意每个group的pre以及end</v>
      </c>
      <c r="N35" s="7"/>
      <c r="O35" s="7" t="str"/>
      <c r="P35" s="7" t="str">
        <v>递归 / 链表</v>
      </c>
      <c r="Q35" s="7" t="str">
        <v>https://leetcode.cn/problems/reverse-nodes-in-k-group/</v>
      </c>
      <c r="R35" s="7" t="str">
        <v>LeetCode Hot100 官网题单分组</v>
      </c>
    </row>
    <row r="36" ht="48" customHeight="1">
      <c r="A36" s="7" t="str">
        <v>链表</v>
      </c>
      <c r="B36" s="7" t="str">
        <v>深拷贝</v>
      </c>
      <c r="C36" s="8" t="n">
        <v>138</v>
      </c>
      <c r="D36" s="7" t="str">
        <v>随机链表的复制</v>
      </c>
      <c r="E36" s="13" t="str">
        <v>07_链表.ipynb</v>
      </c>
      <c r="F36" s="7" t="str">
        <v>lc-138</v>
      </c>
      <c r="G36" s="7" t="str">
        <v>已有详细笔记</v>
      </c>
      <c r="H36" s="7" t="str">
        <v>Hot100</v>
      </c>
      <c r="I36" s="7" t="str">
        <v>中等</v>
      </c>
      <c r="J36" s="12"/>
      <c r="K36" s="12"/>
      <c r="L36" s="12"/>
      <c r="M36" s="7" t="str">
        <v>想要完成链表的深拷贝要求先创建所有的节点，在进行next与random的设置，使用哈希表构建原节点与新节点的映射，在构建新节点的next与random。</v>
      </c>
      <c r="N36" s="7"/>
      <c r="O36" s="7" t="str"/>
      <c r="P36" s="7" t="str">
        <v>哈希表 / 链表</v>
      </c>
      <c r="Q36" s="7" t="str">
        <v>https://leetcode.cn/problems/copy-list-with-random-pointer/</v>
      </c>
      <c r="R36" s="7" t="str">
        <v>LeetCode Hot100 官网题单分组</v>
      </c>
    </row>
    <row r="37" ht="48" customHeight="1">
      <c r="A37" s="7" t="str">
        <v>链表</v>
      </c>
      <c r="B37" s="7" t="str">
        <v>归并排序</v>
      </c>
      <c r="C37" s="8" t="n">
        <v>148</v>
      </c>
      <c r="D37" s="7" t="str">
        <v>排序链表</v>
      </c>
      <c r="E37" s="13" t="str">
        <v>07_链表.ipynb</v>
      </c>
      <c r="F37" s="7" t="str">
        <v>lc-148</v>
      </c>
      <c r="G37" s="7" t="str">
        <v>已有详细笔记</v>
      </c>
      <c r="H37" s="7" t="str">
        <v>Hot100</v>
      </c>
      <c r="I37" s="7" t="str">
        <v>中等</v>
      </c>
      <c r="J37" s="12"/>
      <c r="K37" s="12"/>
      <c r="L37" s="12"/>
      <c r="M37" s="7" t="str">
        <v>使用快慢指针方法找到中点,然后使用归并排序方法进行排序.</v>
      </c>
      <c r="N37" s="7"/>
      <c r="O37" s="7" t="str"/>
      <c r="P37" s="7" t="str">
        <v>链表 / 双指针 / 分治 / 排序 / 归并排序</v>
      </c>
      <c r="Q37" s="7" t="str">
        <v>https://leetcode.cn/problems/sort-list/</v>
      </c>
      <c r="R37" s="7" t="str">
        <v>LeetCode Hot100 官网题单分组</v>
      </c>
    </row>
    <row r="38" ht="80" customHeight="1">
      <c r="A38" s="7" t="str">
        <v>链表</v>
      </c>
      <c r="B38" s="7" t="str">
        <v>多路归并</v>
      </c>
      <c r="C38" s="8" t="n">
        <v>23</v>
      </c>
      <c r="D38" s="7" t="str">
        <v>合并 K 个升序链表</v>
      </c>
      <c r="E38" s="13" t="str">
        <v>07_链表.ipynb</v>
      </c>
      <c r="F38" s="7" t="str">
        <v>lc-23</v>
      </c>
      <c r="G38" s="7" t="str">
        <v>已有详细笔记</v>
      </c>
      <c r="H38" s="7" t="str">
        <v>Hot100</v>
      </c>
      <c r="I38" s="7" t="str">
        <v>困难</v>
      </c>
      <c r="J38" s="12"/>
      <c r="K38" s="12"/>
      <c r="L38" s="12"/>
      <c r="M38" s="7" t="str">
        <v>此题的思路与链表的归并排序以及两个链表的合并有关，思想是先对链表数组进行递归拆分，然后将单个链表返回并对返回的链表采用链表的合并策略，总体而言相较于链表的直接归并排序要简单一些，因为不需要自己手动将链表拆解。</v>
      </c>
      <c r="N38" s="7"/>
      <c r="O38" s="7" t="str"/>
      <c r="P38" s="7" t="str">
        <v>链表 / 分治 / 堆（优先队列） / 归并排序</v>
      </c>
      <c r="Q38" s="7" t="str">
        <v>https://leetcode.cn/problems/merge-k-sorted-lists/</v>
      </c>
      <c r="R38" s="7" t="str">
        <v>LeetCode Hot100 官网题单分组</v>
      </c>
    </row>
    <row r="39" ht="48" customHeight="1">
      <c r="A39" s="7" t="str">
        <v>链表</v>
      </c>
      <c r="B39" s="7" t="str">
        <v>缓存设计</v>
      </c>
      <c r="C39" s="8" t="n">
        <v>146</v>
      </c>
      <c r="D39" s="7" t="str">
        <v>LRU 缓存</v>
      </c>
      <c r="E39" s="13" t="str">
        <v>07_链表.ipynb</v>
      </c>
      <c r="F39" s="7" t="str">
        <v>lc-146</v>
      </c>
      <c r="G39" s="7" t="str">
        <v>已有详细笔记</v>
      </c>
      <c r="H39" s="7" t="str">
        <v>Hot100</v>
      </c>
      <c r="I39" s="7" t="str">
        <v>中等</v>
      </c>
      <c r="J39" s="12"/>
      <c r="K39" s="12"/>
      <c r="L39" s="12"/>
      <c r="M39" s="7" t="str">
        <v>注意self.hashtable是一个字典,value为双向链表节点,通过.next以及.pre属性构建双向链表</v>
      </c>
      <c r="N39" s="7"/>
      <c r="O39" s="7" t="str"/>
      <c r="P39" s="7" t="str">
        <v>设计 / 哈希表 / 链表 / 双向链表</v>
      </c>
      <c r="Q39" s="7" t="str">
        <v>https://leetcode.cn/problems/lru-cache/</v>
      </c>
      <c r="R39" s="7" t="str">
        <v>LeetCode Hot100 官网题单分组</v>
      </c>
    </row>
    <row r="40" ht="80" customHeight="1">
      <c r="A40" s="11" t="str">
        <v>二叉树</v>
      </c>
      <c r="B40" s="11" t="str">
        <v>遍历</v>
      </c>
      <c r="C40" s="10" t="n">
        <v>94</v>
      </c>
      <c r="D40" s="9" t="str">
        <v>二叉树的中序遍历</v>
      </c>
      <c r="E40" s="13" t="str">
        <v>08_二叉树.ipynb</v>
      </c>
      <c r="F40" s="7" t="str">
        <v>lc-94</v>
      </c>
      <c r="G40" s="7" t="str">
        <v>已有详细笔记</v>
      </c>
      <c r="H40" s="7" t="str">
        <v>Hot100</v>
      </c>
      <c r="I40" s="7" t="str">
        <v>简单</v>
      </c>
      <c r="J40" s="12"/>
      <c r="K40" s="12"/>
      <c r="L40" s="12"/>
      <c r="M40" s="7" t="str">
        <v>中序遍历的迭代实现以及前序后序遍历的迭代方法,对于中序方法来说,因为在需要在拆桥(根节点有左子树遍历完)和没有左子树的时候添加,因此可以不使用else,但是对于前序和后序遍历来说,在拆桥的时候不能再次添加,因此需要使用else.</v>
      </c>
      <c r="N40" s="7"/>
      <c r="O40" s="7" t="str"/>
      <c r="P40" s="7" t="str">
        <v>Morris遍历 / 前序后序扩展</v>
      </c>
      <c r="Q40" s="7" t="str">
        <v>https://leetcode.cn/problems/binary-tree-inorder-traversal/</v>
      </c>
      <c r="R40" s="7" t="str">
        <v>LeetCode Hot100 官网题单分组</v>
      </c>
    </row>
    <row r="41" ht="48" customHeight="1">
      <c r="A41" s="7" t="str">
        <v>二叉树</v>
      </c>
      <c r="B41" s="7" t="str">
        <v>深度与结构</v>
      </c>
      <c r="C41" s="8" t="n">
        <v>104</v>
      </c>
      <c r="D41" s="7" t="str">
        <v>二叉树的最大深度</v>
      </c>
      <c r="E41" s="13" t="str">
        <v>08_二叉树.ipynb</v>
      </c>
      <c r="F41" s="7" t="str">
        <v>lc-104</v>
      </c>
      <c r="G41" s="7" t="str">
        <v>已有详细笔记</v>
      </c>
      <c r="H41" s="7" t="str">
        <v>Hot100</v>
      </c>
      <c r="I41" s="7" t="str">
        <v>简单</v>
      </c>
      <c r="J41" s="12"/>
      <c r="K41" s="12"/>
      <c r="L41" s="12"/>
      <c r="M41" s="7" t="str">
        <v>递归：max(左子树深度, 右子树深度)+1；空节点返回0</v>
      </c>
      <c r="N41" s="7"/>
      <c r="O41" s="7" t="str"/>
      <c r="P41" s="7" t="str">
        <v>树 / 深度优先搜索 / 广度优先搜索 / 二叉树</v>
      </c>
      <c r="Q41" s="7" t="str">
        <v>https://leetcode.cn/problems/maximum-depth-of-binary-tree/</v>
      </c>
      <c r="R41" s="7" t="str">
        <v>LeetCode Hot100 官网题单分组</v>
      </c>
    </row>
    <row r="42" ht="48" customHeight="1">
      <c r="A42" s="7" t="str">
        <v>二叉树</v>
      </c>
      <c r="B42" s="7" t="str">
        <v>深度与结构</v>
      </c>
      <c r="C42" s="8" t="n">
        <v>226</v>
      </c>
      <c r="D42" s="7" t="str">
        <v>翻转二叉树</v>
      </c>
      <c r="E42" s="13" t="str">
        <v>08_二叉树.ipynb</v>
      </c>
      <c r="F42" s="7" t="str">
        <v>lc-226</v>
      </c>
      <c r="G42" s="7" t="str">
        <v>已有详细笔记</v>
      </c>
      <c r="H42" s="7" t="str">
        <v>Hot100</v>
      </c>
      <c r="I42" s="7" t="str">
        <v>简单</v>
      </c>
      <c r="J42" s="12"/>
      <c r="K42" s="12"/>
      <c r="L42" s="12"/>
      <c r="M42" s="7" t="str">
        <v>递归交换左右孩子；或层序遍历逐层交换</v>
      </c>
      <c r="N42" s="7"/>
      <c r="O42" s="7" t="str"/>
      <c r="P42" s="7" t="str">
        <v>树 / 深度优先搜索 / 广度优先搜索 / 二叉树</v>
      </c>
      <c r="Q42" s="7" t="str">
        <v>https://leetcode.cn/problems/invert-binary-tree/</v>
      </c>
      <c r="R42" s="7" t="str">
        <v>LeetCode Hot100 官网题单分组</v>
      </c>
    </row>
    <row r="43" ht="48" customHeight="1">
      <c r="A43" s="7" t="str">
        <v>二叉树</v>
      </c>
      <c r="B43" s="7" t="str">
        <v>深度与结构</v>
      </c>
      <c r="C43" s="8" t="n">
        <v>101</v>
      </c>
      <c r="D43" s="7" t="str">
        <v>对称二叉树</v>
      </c>
      <c r="E43" s="13" t="str">
        <v>08_二叉树.ipynb</v>
      </c>
      <c r="F43" s="7" t="str">
        <v>lc-101</v>
      </c>
      <c r="G43" s="7" t="str">
        <v>已有详细笔记</v>
      </c>
      <c r="H43" s="7" t="str">
        <v>Hot100</v>
      </c>
      <c r="I43" s="7" t="str">
        <v>简单</v>
      </c>
      <c r="J43" s="12"/>
      <c r="K43" s="12"/>
      <c r="L43" s="12"/>
      <c r="M43" s="7" t="str">
        <v>递归：两棵子树镜像对称（左.左==右.右 且 左.右==右.左）;注意需要判断根节点是否为空</v>
      </c>
      <c r="N43" s="7"/>
      <c r="O43" s="7" t="str"/>
      <c r="P43" s="7" t="str">
        <v>树 / 深度优先搜索 / 广度优先搜索 / 二叉树</v>
      </c>
      <c r="Q43" s="7" t="str">
        <v>https://leetcode.cn/problems/symmetric-tree/</v>
      </c>
      <c r="R43" s="7" t="str">
        <v>LeetCode Hot100 官网题单分组</v>
      </c>
    </row>
    <row r="44" ht="48" customHeight="1">
      <c r="A44" s="7" t="str">
        <v>二叉树</v>
      </c>
      <c r="B44" s="7" t="str">
        <v>树的直径（一般树扩展）</v>
      </c>
      <c r="C44" s="8" t="n">
        <v>543</v>
      </c>
      <c r="D44" s="7" t="str">
        <v>二叉树的直径</v>
      </c>
      <c r="E44" s="13" t="str">
        <v>08_二叉树.ipynb</v>
      </c>
      <c r="F44" s="7" t="str">
        <v>lc-543</v>
      </c>
      <c r="G44" s="7" t="str">
        <v>已有详细笔记</v>
      </c>
      <c r="H44" s="7" t="str">
        <v>Hot100</v>
      </c>
      <c r="I44" s="7" t="str">
        <v>简单</v>
      </c>
      <c r="J44" s="12"/>
      <c r="K44" s="12"/>
      <c r="L44" s="12"/>
      <c r="M44" s="7" t="str">
        <v>递归求每个节点左右子树深度，全局max(左深+右深)；直径不一定要过根</v>
      </c>
      <c r="N44" s="7"/>
      <c r="O44" s="7" t="str"/>
      <c r="P44" s="7" t="str">
        <v>树 / 深度优先搜索 / 二叉树</v>
      </c>
      <c r="Q44" s="7" t="str">
        <v>https://leetcode.cn/problems/diameter-of-binary-tree/</v>
      </c>
      <c r="R44" s="7" t="str">
        <v>LeetCode Hot100 官网题单分组</v>
      </c>
    </row>
    <row r="45" ht="63" customHeight="1">
      <c r="A45" s="7" t="str">
        <v>二叉树</v>
      </c>
      <c r="B45" s="7" t="str">
        <v>树的直径（一般树扩展）</v>
      </c>
      <c r="C45" s="8" t="n">
        <v>1617</v>
      </c>
      <c r="D45" s="7" t="str">
        <v>统计子树中城市之间的最大距离</v>
      </c>
      <c r="E45" s="13" t="str">
        <v>08_二叉树.ipynb</v>
      </c>
      <c r="F45" s="7" t="str">
        <v>lc-1617</v>
      </c>
      <c r="G45" s="7" t="str">
        <v>已有详细笔记</v>
      </c>
      <c r="H45" s="7" t="str">
        <v>扩展题</v>
      </c>
      <c r="I45" s="7" t="str">
        <v>困难</v>
      </c>
      <c r="J45" s="12"/>
      <c r="K45" s="12"/>
      <c r="L45" s="12"/>
      <c r="M45" s="7" t="str">
        <v>思想：利用枚举子集的思想以及求树的直径的思路，首先创建一个inset数组来对每个节点进行选与不选的操作，当i==n的时候，对前n个节点我们都已经做出了选择，接下来就是判断由这些节点构成的inset是否是一个子集，以及是子…</v>
      </c>
      <c r="N45" s="7"/>
      <c r="O45" s="7" t="str">
        <v>543</v>
      </c>
      <c r="P45" s="7" t="str">
        <v>树形DP / 一般树 / 直径</v>
      </c>
      <c r="Q45" s="7" t="str">
        <v>https://leetcode.cn/problems/count-subtrees-with-max-distance-between-cities/</v>
      </c>
      <c r="R45" s="7" t="str">
        <v>枚举子树并统计直径，保留全部三种解法。</v>
      </c>
    </row>
    <row r="46" ht="48" customHeight="1">
      <c r="A46" s="7" t="str">
        <v>二叉树</v>
      </c>
      <c r="B46" s="7" t="str">
        <v>树的直径（一般树扩展）</v>
      </c>
      <c r="C46" s="8" t="n">
        <v>2246</v>
      </c>
      <c r="D46" s="7" t="str">
        <v>相邻字符不同的最长路径</v>
      </c>
      <c r="E46" s="13" t="str">
        <v>08_二叉树.ipynb</v>
      </c>
      <c r="F46" s="7" t="str">
        <v>lc-2246</v>
      </c>
      <c r="G46" s="7" t="str">
        <v>已有详细笔记</v>
      </c>
      <c r="H46" s="7" t="str">
        <v>扩展题</v>
      </c>
      <c r="I46" s="7" t="str">
        <v>困难</v>
      </c>
      <c r="J46" s="12"/>
      <c r="K46" s="12"/>
      <c r="L46" s="12"/>
      <c r="M46" s="7" t="str">
        <v>树形DP：求经过每个节点的最长路径，仅相邻字符不同才可连边；维护第一大/第二大分支</v>
      </c>
      <c r="N46" s="7"/>
      <c r="O46" s="7" t="str">
        <v>543、124</v>
      </c>
      <c r="P46" s="7" t="str">
        <v>树形DP / 一般树 / 直径</v>
      </c>
      <c r="Q46" s="7" t="str">
        <v>https://leetcode.cn/problems/longest-path-with-different-adjacent-characters/</v>
      </c>
      <c r="R46" s="7" t="str">
        <v>带相邻字符约束的一般树最长路径，扩展二叉树直径。</v>
      </c>
    </row>
    <row r="47" ht="48" customHeight="1">
      <c r="A47" s="7" t="str">
        <v>二叉树</v>
      </c>
      <c r="B47" s="7" t="str">
        <v>树的直径（一般树扩展）</v>
      </c>
      <c r="C47" s="8" t="n">
        <v>2538</v>
      </c>
      <c r="D47" s="7" t="str">
        <v>最大价值和与最小价值和的差值</v>
      </c>
      <c r="E47" s="13" t="str">
        <v>08_二叉树.ipynb</v>
      </c>
      <c r="F47" s="7" t="str">
        <v>lc-2538</v>
      </c>
      <c r="G47" s="7" t="str">
        <v>已有详细笔记</v>
      </c>
      <c r="H47" s="7" t="str">
        <v>扩展题</v>
      </c>
      <c r="I47" s="7" t="str">
        <v>困难</v>
      </c>
      <c r="J47" s="12"/>
      <c r="K47" s="12"/>
      <c r="L47" s="12"/>
      <c r="M47" s="7" t="str">
        <v>树形DP：维护每个节点向下的路径价值最大和与最小和；答案为max-min，可在节点处拼接两条路径</v>
      </c>
      <c r="N47" s="7"/>
      <c r="O47" s="7" t="str">
        <v>543、124</v>
      </c>
      <c r="P47" s="7" t="str">
        <v>树形DP / 一般树 / 直径</v>
      </c>
      <c r="Q47" s="7" t="str">
        <v>https://leetcode.cn/problems/difference-between-maximum-and-minimum-price-sum/</v>
      </c>
      <c r="R47" s="7" t="str">
        <v>一般树带点权路径问题，使用树形DP。</v>
      </c>
    </row>
    <row r="48" ht="63" customHeight="1">
      <c r="A48" s="7" t="str">
        <v>二叉树</v>
      </c>
      <c r="B48" s="7" t="str">
        <v>遍历</v>
      </c>
      <c r="C48" s="8" t="n">
        <v>102</v>
      </c>
      <c r="D48" s="7" t="str">
        <v>二叉树的层序遍历</v>
      </c>
      <c r="E48" s="13" t="str">
        <v>08_二叉树.ipynb</v>
      </c>
      <c r="F48" s="7" t="str">
        <v>lc-102</v>
      </c>
      <c r="G48" s="7" t="str">
        <v>已有详细笔记</v>
      </c>
      <c r="H48" s="7" t="str">
        <v>Hot100</v>
      </c>
      <c r="I48" s="7" t="str">
        <v>中等</v>
      </c>
      <c r="J48" s="12"/>
      <c r="K48" s="12"/>
      <c r="L48" s="12"/>
      <c r="M48" s="7" t="str">
        <v>树的层序遍历：树的层序遍历不需要提前知道树的深度 注意：使用 res = [[]nums] 并不能生成一个含有nums个列表的二维列表，应该使用: res = [[] for in range(nums)]</v>
      </c>
      <c r="N48" s="7"/>
      <c r="O48" s="7" t="str"/>
      <c r="P48" s="7" t="str">
        <v>树 / 广度优先搜索 / 二叉树</v>
      </c>
      <c r="Q48" s="7" t="str">
        <v>https://leetcode.cn/problems/binary-tree-level-order-traversal/</v>
      </c>
      <c r="R48" s="7" t="str">
        <v>LeetCode Hot100 官网题单分组</v>
      </c>
    </row>
    <row r="49" ht="48" customHeight="1">
      <c r="A49" s="7" t="str">
        <v>二叉树</v>
      </c>
      <c r="B49" s="7" t="str">
        <v>二叉搜索树</v>
      </c>
      <c r="C49" s="8" t="n">
        <v>98</v>
      </c>
      <c r="D49" s="7" t="str">
        <v>验证二叉搜索树</v>
      </c>
      <c r="E49" s="13" t="str">
        <v>08_二叉树.ipynb</v>
      </c>
      <c r="F49" s="7" t="str">
        <v>lc-98</v>
      </c>
      <c r="G49" s="7" t="str">
        <v>已有详细笔记</v>
      </c>
      <c r="H49" s="7" t="str">
        <v>Hot100</v>
      </c>
      <c r="I49" s="7" t="str">
        <v>中等</v>
      </c>
      <c r="J49" s="12"/>
      <c r="K49" s="12"/>
      <c r="L49" s="12"/>
      <c r="M49" s="7" t="str">
        <v>中序遍历结果严格递增；或递归传递(lower, upper)上下界校验</v>
      </c>
      <c r="N49" s="7"/>
      <c r="O49" s="7" t="str"/>
      <c r="P49" s="7" t="str">
        <v>树 / 深度优先搜索 / 二叉搜索树 / 二叉树</v>
      </c>
      <c r="Q49" s="7" t="str">
        <v>https://leetcode.cn/problems/validate-binary-search-tree/</v>
      </c>
      <c r="R49" s="7" t="str">
        <v>LeetCode Hot100 官网题单分组</v>
      </c>
    </row>
    <row r="50" ht="63" customHeight="1">
      <c r="A50" s="7" t="str">
        <v>二叉树</v>
      </c>
      <c r="B50" s="7" t="str">
        <v>结构变换</v>
      </c>
      <c r="C50" s="8" t="n">
        <v>114</v>
      </c>
      <c r="D50" s="7" t="str">
        <v>二叉树展开为链表</v>
      </c>
      <c r="E50" s="13" t="str">
        <v>08_二叉树.ipynb</v>
      </c>
      <c r="F50" s="7" t="str">
        <v>lc-114</v>
      </c>
      <c r="G50" s="7" t="str">
        <v>已有详细笔记</v>
      </c>
      <c r="H50" s="7" t="str">
        <v>Hot100</v>
      </c>
      <c r="I50" s="7" t="str">
        <v>中等</v>
      </c>
      <c r="J50" s="12"/>
      <c r="K50" s="12"/>
      <c r="L50" s="12"/>
      <c r="M50" s="7" t="str">
        <v>while 栈非空: 1. 弹出当前节点 = 栈.pop() 2. 连接操作：if pre: pre.right = 当前节点; pre.left = None 3. 入栈操作：先右后左（因为栈是后进先出）</v>
      </c>
      <c r="N50" s="7"/>
      <c r="O50" s="7" t="str"/>
      <c r="P50" s="7" t="str">
        <v>栈 / 树 / 深度优先搜索 / 链表 / 二叉树</v>
      </c>
      <c r="Q50" s="7" t="str">
        <v>https://leetcode.cn/problems/flatten-binary-tree-to-linked-list/</v>
      </c>
      <c r="R50" s="7" t="str">
        <v>LeetCode Hot100 官网题单分组</v>
      </c>
    </row>
    <row r="51" ht="80" customHeight="1">
      <c r="A51" s="7" t="str">
        <v>二叉树</v>
      </c>
      <c r="B51" s="7" t="str">
        <v>构造二叉树</v>
      </c>
      <c r="C51" s="8" t="n">
        <v>105</v>
      </c>
      <c r="D51" s="7" t="str">
        <v>从前序与中序遍历序列构造二叉树</v>
      </c>
      <c r="E51" s="13" t="str">
        <v>08_二叉树.ipynb</v>
      </c>
      <c r="F51" s="7" t="str">
        <v>lc-105</v>
      </c>
      <c r="G51" s="7" t="str">
        <v>已有详细笔记</v>
      </c>
      <c r="H51" s="7" t="str">
        <v>Hot100</v>
      </c>
      <c r="I51" s="7" t="str">
        <v>中等</v>
      </c>
      <c r="J51" s="12"/>
      <c r="K51" s="12"/>
      <c r="L51" s="12"/>
      <c r="M51" s="7" t="str">
        <v>方法一： 这个方法从递归的角度入手，先获取先序遍历中根节点在中序遍历中的索引，然后根据索引确定根节点的左子树和右子树有多少节点，在递归调用构建左右子树 例如，对于这个例子而言，根节点3在中序中对应的位置为1，也就说明了左…</v>
      </c>
      <c r="N51" s="7"/>
      <c r="O51" s="7" t="str"/>
      <c r="P51" s="7" t="str">
        <v>树 / 数组 / 哈希表 / 分治 / 二叉树</v>
      </c>
      <c r="Q51" s="7" t="str">
        <v>https://leetcode.cn/problems/construct-binary-tree-from-preorder-and-inorder-traversal/</v>
      </c>
      <c r="R51" s="7" t="str">
        <v>LeetCode Hot100 官网题单分组</v>
      </c>
    </row>
    <row r="52" ht="97" customHeight="1">
      <c r="A52" s="7" t="str">
        <v>二叉树</v>
      </c>
      <c r="B52" s="7" t="str">
        <v>前缀和路径</v>
      </c>
      <c r="C52" s="8" t="n">
        <v>437</v>
      </c>
      <c r="D52" s="7" t="str">
        <v>路径总和 III</v>
      </c>
      <c r="E52" s="13" t="str">
        <v>08_二叉树.ipynb</v>
      </c>
      <c r="F52" s="7" t="str">
        <v>lc-437</v>
      </c>
      <c r="G52" s="7" t="str">
        <v>已有详细笔记</v>
      </c>
      <c r="H52" s="7" t="str">
        <v>Hot100</v>
      </c>
      <c r="I52" s="7" t="str">
        <v>中等</v>
      </c>
      <c r="J52" s="12"/>
      <c r="K52" s="12"/>
      <c r="L52" s="12"/>
      <c r="M52" s="7" t="str">
        <v>采用前缀和的思想，最后在单次函数执行完之前(也就意味着这个节点作为路径终点的所有路径遍历完成)，将字典当中从根节点到当前节点的数量-1，避免对其他分支造成影响。此题可以看作是560.和为k的子数组的升级版本;同时对于使用前缀和的题目来说,有两点需要注意:1.首先设置cnt[0]=1,避免漏算 2.先判断时候有cnt[curr_sum - target_sum]存在,在更新cnt.</v>
      </c>
      <c r="N52" s="7"/>
      <c r="O52" s="7" t="str"/>
      <c r="P52" s="7" t="str">
        <v>树 / 深度优先搜索 / 二叉树</v>
      </c>
      <c r="Q52" s="7" t="str">
        <v>https://leetcode.cn/problems/path-sum-iii/</v>
      </c>
      <c r="R52" s="7" t="str">
        <v>LeetCode Hot100 官网题单分组</v>
      </c>
    </row>
    <row r="53" ht="48" customHeight="1">
      <c r="A53" s="7" t="str">
        <v>二叉树</v>
      </c>
      <c r="B53" s="7" t="str">
        <v>最近公共祖先</v>
      </c>
      <c r="C53" s="8" t="n">
        <v>236</v>
      </c>
      <c r="D53" s="7" t="str">
        <v>二叉树的最近公共祖先</v>
      </c>
      <c r="E53" s="13" t="str">
        <v>08_二叉树.ipynb</v>
      </c>
      <c r="F53" s="7" t="str">
        <v>lc-236</v>
      </c>
      <c r="G53" s="7" t="str">
        <v>已有详细笔记</v>
      </c>
      <c r="H53" s="7" t="str">
        <v>Hot100</v>
      </c>
      <c r="I53" s="7" t="str">
        <v>中等</v>
      </c>
      <c r="J53" s="12"/>
      <c r="K53" s="12"/>
      <c r="L53" s="12"/>
      <c r="M53" s="7" t="str">
        <v>递归：节点为p或q为空都返回自身；左右子树返回值均非空时当前节点即最近公共祖先;否则执行return left if left else right判断</v>
      </c>
      <c r="N53" s="7"/>
      <c r="O53" s="7" t="str"/>
      <c r="P53" s="7" t="str">
        <v>树 / 深度优先搜索 / 二叉树</v>
      </c>
      <c r="Q53" s="7" t="str">
        <v>https://leetcode.cn/problems/lowest-common-ancestor-of-a-binary-tree/</v>
      </c>
      <c r="R53" s="7" t="str">
        <v>LeetCode Hot100 官网题单分组</v>
      </c>
    </row>
    <row r="54" ht="48" customHeight="1">
      <c r="A54" s="7" t="str">
        <v>二叉树</v>
      </c>
      <c r="B54" s="7" t="str">
        <v>最近公共祖先</v>
      </c>
      <c r="C54" s="8" t="n">
        <v>235</v>
      </c>
      <c r="D54" s="7" t="str">
        <v>二叉搜索树的最近公共祖先</v>
      </c>
      <c r="E54" s="13" t="str">
        <v>08_二叉树.ipynb</v>
      </c>
      <c r="F54" s="7" t="str">
        <v>lc-235</v>
      </c>
      <c r="G54" s="7" t="str">
        <v>已有详细笔记</v>
      </c>
      <c r="H54" s="7" t="str">
        <v>扩展题</v>
      </c>
      <c r="I54" s="7" t="str">
        <v>中等</v>
      </c>
      <c r="J54" s="12"/>
      <c r="K54" s="12"/>
      <c r="L54" s="12"/>
      <c r="M54" s="7" t="str">
        <v>利用BST有序性：p、q都较小时向左，都较大时向右，否则当前节点为最近公共祖先。</v>
      </c>
      <c r="N54" s="7"/>
      <c r="O54" s="7" t="str">
        <v>236</v>
      </c>
      <c r="P54" s="7" t="str">
        <v>最近公共祖先</v>
      </c>
      <c r="Q54" s="7" t="str">
        <v>https://leetcode.cn/problems/lowest-common-ancestor-of-a-binary-search-tree/</v>
      </c>
      <c r="R54" s="7" t="str">
        <v>利用二叉搜索树的有序性质寻找最近公共祖先。</v>
      </c>
    </row>
    <row r="55" ht="48" customHeight="1">
      <c r="A55" s="7" t="str">
        <v>二叉树</v>
      </c>
      <c r="B55" s="7" t="str">
        <v>树形DP</v>
      </c>
      <c r="C55" s="8" t="n">
        <v>124</v>
      </c>
      <c r="D55" s="7" t="str">
        <v>二叉树中的最大路径和</v>
      </c>
      <c r="E55" s="13" t="str">
        <v>08_二叉树.ipynb</v>
      </c>
      <c r="F55" s="7" t="str">
        <v>lc-124</v>
      </c>
      <c r="G55" s="7" t="str">
        <v>已有详细笔记</v>
      </c>
      <c r="H55" s="7" t="str">
        <v>Hot100</v>
      </c>
      <c r="I55" s="7" t="str">
        <v>困难</v>
      </c>
      <c r="J55" s="12"/>
      <c r="K55" s="12"/>
      <c r="L55" s="12"/>
      <c r="M55" s="7" t="str">
        <v>递归返回单边最大路径和 node.val+max(左,右,0)；全局max记录经过当前节点的最大路径和</v>
      </c>
      <c r="N55" s="7"/>
      <c r="O55" s="7" t="str"/>
      <c r="P55" s="7" t="str">
        <v>树 / 深度优先搜索 / 动态规划 / 二叉树</v>
      </c>
      <c r="Q55" s="7" t="str">
        <v>https://leetcode.cn/problems/binary-tree-maximum-path-sum/</v>
      </c>
      <c r="R55" s="7" t="str">
        <v>LeetCode Hot100 官网题单分组</v>
      </c>
    </row>
    <row r="56" ht="48" customHeight="1">
      <c r="A56" s="7" t="str">
        <v>二叉树</v>
      </c>
      <c r="B56" s="7" t="str">
        <v>树形DP</v>
      </c>
      <c r="C56" s="8" t="n">
        <v>337</v>
      </c>
      <c r="D56" s="7" t="str">
        <v>打家劫舍 III</v>
      </c>
      <c r="E56" s="13" t="str">
        <v>08_二叉树.ipynb</v>
      </c>
      <c r="F56" s="7" t="str">
        <v>lc-337</v>
      </c>
      <c r="G56" s="7" t="str">
        <v>已有详细笔记</v>
      </c>
      <c r="H56" s="7" t="str">
        <v>扩展题</v>
      </c>
      <c r="I56" s="7" t="str">
        <v>中等</v>
      </c>
      <c r="J56" s="12"/>
      <c r="K56" s="12"/>
      <c r="L56" s="12"/>
      <c r="M56" s="7" t="str">
        <v>树形DP：每个节点返回[偷,不偷]；偷则子节点不能偷，不偷取子节点最大值；后序遍历</v>
      </c>
      <c r="N56" s="7"/>
      <c r="O56" s="7" t="str">
        <v>198、124</v>
      </c>
      <c r="P56" s="7" t="str">
        <v>树形DP / 状态机DP</v>
      </c>
      <c r="Q56" s="7" t="str">
        <v>https://leetcode.cn/problems/house-robber-iii/</v>
      </c>
      <c r="R56" s="7" t="str">
        <v>把打家劫舍推广到树结构，同时在动态规划导航中交叉引用。</v>
      </c>
    </row>
    <row r="57" ht="80" customHeight="1">
      <c r="A57" s="7" t="str">
        <v>二叉树</v>
      </c>
      <c r="B57" s="7" t="str">
        <v>树形DP</v>
      </c>
      <c r="C57" s="8" t="n">
        <v>968</v>
      </c>
      <c r="D57" s="7" t="str">
        <v>监控二叉树</v>
      </c>
      <c r="E57" s="13" t="str">
        <v>08_二叉树.ipynb</v>
      </c>
      <c r="F57" s="7" t="str">
        <v>lc-968</v>
      </c>
      <c r="G57" s="7" t="str">
        <v>已有详细笔记</v>
      </c>
      <c r="H57" s="7" t="str">
        <v>扩展题</v>
      </c>
      <c r="I57" s="7" t="str">
        <v>困难</v>
      </c>
      <c r="J57" s="12"/>
      <c r="K57" s="12"/>
      <c r="L57" s="12"/>
      <c r="M57" s="7" t="str">
        <v>此题的核心是针对每个节点，从节点的不同状态入手，分析节点在不同状态下的最小数目或者最小点权和。 分析一下红色节点的处理逻辑，对于红色节点而言，它必须有一个子节点是蓝色节点，而对于黄色节点而言，它的子节点是由红色与蓝色构成…</v>
      </c>
      <c r="N57" s="7"/>
      <c r="O57" s="7" t="str">
        <v>104、124</v>
      </c>
      <c r="P57" s="7" t="str">
        <v>树形DP / 一般树扩展</v>
      </c>
      <c r="Q57" s="7" t="str">
        <v>https://leetcode.cn/problems/binary-tree-cameras/</v>
      </c>
      <c r="R57" s="7" t="str">
        <v>以节点状态递推覆盖方案，是树形DP扩展。</v>
      </c>
    </row>
    <row r="58" ht="63" customHeight="1">
      <c r="A58" s="11" t="str">
        <v>图论</v>
      </c>
      <c r="B58" s="11" t="str">
        <v>连通块遍历</v>
      </c>
      <c r="C58" s="10" t="n">
        <v>200</v>
      </c>
      <c r="D58" s="9" t="str">
        <v>岛屿数量</v>
      </c>
      <c r="E58" s="13" t="str">
        <v>09_图论.ipynb</v>
      </c>
      <c r="F58" s="7" t="str">
        <v>lc-200</v>
      </c>
      <c r="G58" s="7" t="str">
        <v>已有详细笔记</v>
      </c>
      <c r="H58" s="7" t="str">
        <v>Hot100</v>
      </c>
      <c r="I58" s="7" t="str">
        <v>中等</v>
      </c>
      <c r="J58" s="12"/>
      <c r="K58" s="12"/>
      <c r="L58" s="12"/>
      <c r="M58" s="7" t="str">
        <v>方法一：DFS 方法二：BFS 对于坐标而言，用元组存储更加方便 deque（双端队列数据结构）的用法： 基本操作： quene = deque([i,j]): 初始化 d.appendleft() :从左端添加元素 d…</v>
      </c>
      <c r="N58" s="7"/>
      <c r="O58" s="7" t="str"/>
      <c r="P58" s="7" t="str">
        <v>深度优先搜索 / 广度优先搜索 / 并查集 / 数组 / 矩阵</v>
      </c>
      <c r="Q58" s="7" t="str">
        <v>https://leetcode.cn/problems/number-of-islands/</v>
      </c>
      <c r="R58" s="7" t="str">
        <v>LeetCode Hot100 官网题单分组</v>
      </c>
    </row>
    <row r="59" ht="63" customHeight="1">
      <c r="A59" s="7" t="str">
        <v>图论</v>
      </c>
      <c r="B59" s="7" t="str">
        <v>拓扑排序</v>
      </c>
      <c r="C59" s="8" t="n">
        <v>207</v>
      </c>
      <c r="D59" s="7" t="str">
        <v>课程表</v>
      </c>
      <c r="E59" s="13" t="str">
        <v>09_图论.ipynb</v>
      </c>
      <c r="F59" s="7" t="str">
        <v>lc-207</v>
      </c>
      <c r="G59" s="7" t="str">
        <v>已有详细笔记</v>
      </c>
      <c r="H59" s="7" t="str">
        <v>Hot100</v>
      </c>
      <c r="I59" s="7" t="str">
        <v>中等</v>
      </c>
      <c r="J59" s="12"/>
      <c r="K59" s="12"/>
      <c r="L59" s="12"/>
      <c r="M59" s="7" t="str">
        <v>在生成初始列表时： list1 = [] n : 这样操作是不对的，空列表重复n次仍为空列表 list1 = [0] n : 正确 list1 = [[] n] : 错误 list1 = [[] for in range…</v>
      </c>
      <c r="N59" s="7"/>
      <c r="O59" s="7" t="str"/>
      <c r="P59" s="7" t="str">
        <v>深度优先搜索 / 广度优先搜索 / 图 / 拓扑排序</v>
      </c>
      <c r="Q59" s="7" t="str">
        <v>https://leetcode.cn/problems/course-schedule/</v>
      </c>
      <c r="R59" s="7" t="str">
        <v>LeetCode Hot100 官网题单分组</v>
      </c>
    </row>
    <row r="60" ht="48" customHeight="1">
      <c r="A60" s="7" t="str">
        <v>图论</v>
      </c>
      <c r="B60" s="7" t="str">
        <v>前缀树</v>
      </c>
      <c r="C60" s="8" t="n">
        <v>208</v>
      </c>
      <c r="D60" s="7" t="str">
        <v>实现 Trie (前缀树)</v>
      </c>
      <c r="E60" s="13" t="str">
        <v>09_图论.ipynb</v>
      </c>
      <c r="F60" s="7" t="str">
        <v>lc-208</v>
      </c>
      <c r="G60" s="7" t="str">
        <v>已有详细笔记</v>
      </c>
      <c r="H60" s="7" t="str">
        <v>Hot100</v>
      </c>
      <c r="I60" s="7" t="str">
        <v>中等</v>
      </c>
      <c r="J60" s="12"/>
      <c r="K60" s="12"/>
      <c r="L60" s="12"/>
      <c r="M60" s="7" t="str">
        <v>Trie节点含children字典（或26数组）与isEnd标记；插入/搜索/前缀搜索三步走</v>
      </c>
      <c r="N60" s="7"/>
      <c r="O60" s="7" t="str"/>
      <c r="P60" s="7" t="str">
        <v>设计 / 字典树 / 哈希表 / 字符串</v>
      </c>
      <c r="Q60" s="7" t="str">
        <v>https://leetcode.cn/problems/implement-trie-prefix-tree/</v>
      </c>
      <c r="R60" s="7" t="str">
        <v>LeetCode Hot100 官网题单分组</v>
      </c>
    </row>
    <row r="61" ht="63" customHeight="1">
      <c r="A61" s="11" t="str">
        <v>回溯</v>
      </c>
      <c r="B61" s="11" t="str">
        <v>排列</v>
      </c>
      <c r="C61" s="10" t="n">
        <v>46</v>
      </c>
      <c r="D61" s="9" t="str">
        <v>全排列</v>
      </c>
      <c r="E61" s="13" t="str">
        <v>10_回溯.ipynb</v>
      </c>
      <c r="F61" s="7" t="str">
        <v>lc-46</v>
      </c>
      <c r="G61" s="7" t="str">
        <v>已有详细笔记</v>
      </c>
      <c r="H61" s="7" t="str">
        <v>Hot100</v>
      </c>
      <c r="I61" s="7" t="str">
        <v>中等</v>
      </c>
      <c r="J61" s="12"/>
      <c r="K61" s="12"/>
      <c r="L61" s="12"/>
      <c r="M61" s="7" t="str">
        <v>（时间复杂度为O(en!)） 在全排列问题当中，始终都是对path这个列表进行处理，如果添加的是path的话只是对原列表的引用，因此当对path进行修改时，也会影响到加入到res当中的列表，正确的做法是添加当前列表的副本…</v>
      </c>
      <c r="N61" s="7"/>
      <c r="O61" s="7" t="str"/>
      <c r="P61" s="7" t="str">
        <v>数组 / 回溯</v>
      </c>
      <c r="Q61" s="7" t="str">
        <v>https://leetcode.cn/problems/permutations/</v>
      </c>
      <c r="R61" s="7" t="str">
        <v>LeetCode Hot100 官网题单分组</v>
      </c>
    </row>
    <row r="62" ht="63" customHeight="1">
      <c r="A62" s="7" t="str">
        <v>回溯</v>
      </c>
      <c r="B62" s="7" t="str">
        <v>子集</v>
      </c>
      <c r="C62" s="8" t="n">
        <v>78</v>
      </c>
      <c r="D62" s="7" t="str">
        <v>子集</v>
      </c>
      <c r="E62" s="13" t="str">
        <v>10_回溯.ipynb</v>
      </c>
      <c r="F62" s="7" t="str">
        <v>lc-78</v>
      </c>
      <c r="G62" s="7" t="str">
        <v>已有详细笔记</v>
      </c>
      <c r="H62" s="7" t="str">
        <v>Hot100</v>
      </c>
      <c r="I62" s="7" t="str">
        <v>中等</v>
      </c>
      <c r="J62" s="12"/>
      <c r="K62" s="12"/>
      <c r="L62" s="12"/>
      <c r="M62" s="7" t="str">
        <v>模板一：每个数的选与不选 回溯三问为： 1.当前的操作是什么：是否选择索引值为i的值并将其加入到path中 2.子问题是什么：索引值=i的剩余数的选择问题 3.下一个子问题：索引值=i+1的剩余数的选择问题 模板二：站在…</v>
      </c>
      <c r="N62" s="7"/>
      <c r="O62" s="7" t="str"/>
      <c r="P62" s="7" t="str">
        <v>位运算 / 数组 / 回溯</v>
      </c>
      <c r="Q62" s="7" t="str">
        <v>https://leetcode.cn/problems/subsets/</v>
      </c>
      <c r="R62" s="7" t="str">
        <v>LeetCode Hot100 官网题单分组</v>
      </c>
    </row>
    <row r="63" ht="63" customHeight="1">
      <c r="A63" s="7" t="str">
        <v>回溯</v>
      </c>
      <c r="B63" s="7" t="str">
        <v>组合枚举</v>
      </c>
      <c r="C63" s="8" t="n">
        <v>17</v>
      </c>
      <c r="D63" s="7" t="str">
        <v>电话号码的字母组合</v>
      </c>
      <c r="E63" s="13" t="str">
        <v>10_回溯.ipynb</v>
      </c>
      <c r="F63" s="7" t="str">
        <v>lc-17</v>
      </c>
      <c r="G63" s="7" t="str">
        <v>已有详细笔记</v>
      </c>
      <c r="H63" s="7" t="str">
        <v>Hot100</v>
      </c>
      <c r="I63" s="7" t="str">
        <v>中等</v>
      </c>
      <c r="J63" s="12"/>
      <c r="K63" s="12"/>
      <c r="L63" s="12"/>
      <c r="M63" s="7" t="str">
        <v>对这个题而言，回溯三问为： 1.当前正在进行的操作是什么：枚举第i个数字的字母（需要使用循环达到枚举的效果） 2.子问题是什么：构建索引值大于等于i的字符串 3.下一个子问题是什么：构建索引值大于等于i+1的字符串</v>
      </c>
      <c r="N63" s="7"/>
      <c r="O63" s="7" t="str"/>
      <c r="P63" s="7" t="str">
        <v>哈希表 / 字符串 / 回溯</v>
      </c>
      <c r="Q63" s="7" t="str">
        <v>https://leetcode.cn/problems/letter-combinations-of-a-phone-number/</v>
      </c>
      <c r="R63" s="7" t="str">
        <v>LeetCode Hot100 官网题单分组</v>
      </c>
    </row>
    <row r="64" ht="63" customHeight="1">
      <c r="A64" s="7" t="str">
        <v>回溯</v>
      </c>
      <c r="B64" s="7" t="str">
        <v>组合总和</v>
      </c>
      <c r="C64" s="8" t="n">
        <v>39</v>
      </c>
      <c r="D64" s="7" t="str">
        <v>组合总和</v>
      </c>
      <c r="E64" s="13" t="str">
        <v>10_回溯.ipynb</v>
      </c>
      <c r="F64" s="7" t="str">
        <v>lc-39</v>
      </c>
      <c r="G64" s="7" t="str">
        <v>已有详细笔记</v>
      </c>
      <c r="H64" s="7" t="str">
        <v>Hot100</v>
      </c>
      <c r="I64" s="7" t="str">
        <v>中等</v>
      </c>
      <c r="J64" s="12"/>
      <c r="K64" s="12"/>
      <c r="L64" s="12"/>
      <c r="M64" s="7" t="str">
        <v>回溯三问为： 1.当前操作：从大于等于i的索引中选取一个数，索引为j 2.子问题：从大于等于索引i的数组中选数加入到总和中看是否等于target 3.下一个子问题：从大于等于索引j的数组中选数加入到总和中看是否等于tar…</v>
      </c>
      <c r="N64" s="7"/>
      <c r="O64" s="7" t="str"/>
      <c r="P64" s="7" t="str">
        <v>数组 / 回溯</v>
      </c>
      <c r="Q64" s="7" t="str">
        <v>https://leetcode.cn/problems/combination-sum/</v>
      </c>
      <c r="R64" s="7" t="str">
        <v>LeetCode Hot100 官网题单分组</v>
      </c>
    </row>
    <row r="65" ht="48" customHeight="1">
      <c r="A65" s="7" t="str">
        <v>回溯</v>
      </c>
      <c r="B65" s="7" t="str">
        <v>组合总和</v>
      </c>
      <c r="C65" s="8" t="n">
        <v>216</v>
      </c>
      <c r="D65" s="7" t="str">
        <v>组合总和 III</v>
      </c>
      <c r="E65" s="13" t="str">
        <v>10_回溯.ipynb</v>
      </c>
      <c r="F65" s="7" t="str">
        <v>lc-216</v>
      </c>
      <c r="G65" s="7" t="str">
        <v>已有详细笔记</v>
      </c>
      <c r="H65" s="7" t="str">
        <v>扩展题</v>
      </c>
      <c r="I65" s="7" t="str">
        <v>中等</v>
      </c>
      <c r="J65" s="12"/>
      <c r="K65" s="12"/>
      <c r="L65" s="12"/>
      <c r="M65" s="7" t="str">
        <v>回溯组合：从1~9选k个数和为n；可剪枝（剩余个数不足或和超target）</v>
      </c>
      <c r="N65" s="7"/>
      <c r="O65" s="7" t="str">
        <v>39</v>
      </c>
      <c r="P65" s="7" t="str">
        <v>组合总和</v>
      </c>
      <c r="Q65" s="7" t="str">
        <v>https://leetcode.cn/problems/combination-sum-iii/</v>
      </c>
      <c r="R65" s="7" t="str">
        <v>在组合总和中加入数字范围及选取个数限制。</v>
      </c>
    </row>
    <row r="66" ht="48" customHeight="1">
      <c r="A66" s="7" t="str">
        <v>回溯</v>
      </c>
      <c r="B66" s="7" t="str">
        <v>括号构造</v>
      </c>
      <c r="C66" s="8" t="n">
        <v>22</v>
      </c>
      <c r="D66" s="7" t="str">
        <v>括号生成</v>
      </c>
      <c r="E66" s="13" t="str">
        <v>10_回溯.ipynb</v>
      </c>
      <c r="F66" s="7" t="str">
        <v>lc-22</v>
      </c>
      <c r="G66" s="7" t="str">
        <v>已有详细笔记</v>
      </c>
      <c r="H66" s="7" t="str">
        <v>Hot100</v>
      </c>
      <c r="I66" s="7" t="str">
        <v>中等</v>
      </c>
      <c r="J66" s="12"/>
      <c r="K66" s="12"/>
      <c r="L66" s="12"/>
      <c r="M66" s="7" t="str">
        <v>回溯选与不选：左括号数&lt;n才可加'('，右括号数&lt;左括号数才可加')'</v>
      </c>
      <c r="N66" s="7"/>
      <c r="O66" s="7" t="str"/>
      <c r="P66" s="7" t="str">
        <v>字符串 / 动态规划 / 回溯</v>
      </c>
      <c r="Q66" s="7" t="str">
        <v>https://leetcode.cn/problems/generate-parentheses/</v>
      </c>
      <c r="R66" s="7" t="str">
        <v>LeetCode Hot100 官网题单分组</v>
      </c>
    </row>
    <row r="67" ht="63" customHeight="1">
      <c r="A67" s="7" t="str">
        <v>回溯</v>
      </c>
      <c r="B67" s="7" t="str">
        <v>分割</v>
      </c>
      <c r="C67" s="8" t="n">
        <v>131</v>
      </c>
      <c r="D67" s="7" t="str">
        <v>分割回文串</v>
      </c>
      <c r="E67" s="13" t="str">
        <v>10_回溯.ipynb</v>
      </c>
      <c r="F67" s="7" t="str">
        <v>lc-131</v>
      </c>
      <c r="G67" s="7" t="str">
        <v>已有详细笔记</v>
      </c>
      <c r="H67" s="7" t="str">
        <v>Hot100</v>
      </c>
      <c r="I67" s="7" t="str">
        <v>中等</v>
      </c>
      <c r="J67" s="12"/>
      <c r="K67" s="12"/>
      <c r="L67" s="12"/>
      <c r="M67" s="7" t="str">
        <v>回溯三问为: 1.当前操作：从索引i开始找一个[i,j]的字符串，判断它是不是回文串 2.子问题：从当前索引开始查找回文子串（枚举从i开始的字符串） 3.下一个子问题：从索引j+1开始查找回文串</v>
      </c>
      <c r="N67" s="7"/>
      <c r="O67" s="7" t="str"/>
      <c r="P67" s="7" t="str">
        <v>字符串 / 动态规划 / 回溯</v>
      </c>
      <c r="Q67" s="7" t="str">
        <v>https://leetcode.cn/problems/palindrome-partitioning/</v>
      </c>
      <c r="R67" s="7" t="str">
        <v>LeetCode Hot100 官网题单分组</v>
      </c>
    </row>
    <row r="68" ht="48" customHeight="1">
      <c r="A68" s="7" t="str">
        <v>回溯</v>
      </c>
      <c r="B68" s="7" t="str">
        <v>排列与约束</v>
      </c>
      <c r="C68" s="8" t="n">
        <v>51</v>
      </c>
      <c r="D68" s="7" t="str">
        <v>N 皇后</v>
      </c>
      <c r="E68" s="13" t="str">
        <v>10_回溯.ipynb</v>
      </c>
      <c r="F68" s="7" t="str">
        <v>lc-51</v>
      </c>
      <c r="G68" s="7" t="str">
        <v>已有详细笔记</v>
      </c>
      <c r="H68" s="7" t="str">
        <v>Hot100</v>
      </c>
      <c r="I68" s="7" t="str">
        <v>困难</v>
      </c>
      <c r="J68" s="12"/>
      <c r="K68" s="12"/>
      <c r="L68" s="12"/>
      <c r="M68" s="7" t="str">
        <v>回溯逐行放皇后；用列、主对角线(i-j)、副对角线(i+j)集合剪枝</v>
      </c>
      <c r="N68" s="7"/>
      <c r="O68" s="7" t="str"/>
      <c r="P68" s="7" t="str">
        <v>数组 / 回溯</v>
      </c>
      <c r="Q68" s="7" t="str">
        <v>https://leetcode.cn/problems/n-queens/</v>
      </c>
      <c r="R68" s="7" t="str">
        <v>LeetCode Hot100 官网题单分组</v>
      </c>
    </row>
    <row r="69" ht="48" customHeight="1">
      <c r="A69" s="11" t="str">
        <v>二分查找</v>
      </c>
      <c r="B69" s="11" t="str">
        <v>二维有序查找</v>
      </c>
      <c r="C69" s="10" t="n">
        <v>74</v>
      </c>
      <c r="D69" s="9" t="str">
        <v>搜索二维矩阵</v>
      </c>
      <c r="E69" s="13" t="str">
        <v>11_二分查找.ipynb</v>
      </c>
      <c r="F69" s="7" t="str">
        <v>lc-74</v>
      </c>
      <c r="G69" s="7" t="str">
        <v>仅有表格摘要</v>
      </c>
      <c r="H69" s="7" t="str">
        <v>Hot100</v>
      </c>
      <c r="I69" s="7" t="str">
        <v>中等</v>
      </c>
      <c r="J69" s="12"/>
      <c r="K69" s="12"/>
      <c r="L69" s="12"/>
      <c r="M69" s="7" t="str">
        <v>把二维矩阵拉成一维即可,mid对应矩阵的位置为[mid//column][mid%column]</v>
      </c>
      <c r="N69" s="7"/>
      <c r="O69" s="7" t="str"/>
      <c r="P69" s="7" t="str">
        <v>数组 / 二分查找 / 矩阵</v>
      </c>
      <c r="Q69" s="7" t="str">
        <v>https://leetcode.cn/problems/search-a-2d-matrix/</v>
      </c>
      <c r="R69" s="7" t="str">
        <v>LeetCode Hot100 官网题单分组</v>
      </c>
    </row>
    <row r="70" ht="63" customHeight="1">
      <c r="A70" s="7" t="str">
        <v>二分查找</v>
      </c>
      <c r="B70" s="7" t="str">
        <v>边界查找</v>
      </c>
      <c r="C70" s="8" t="n">
        <v>34</v>
      </c>
      <c r="D70" s="7" t="str">
        <v>在排序数组中查找元素的第一个和最后一个位置</v>
      </c>
      <c r="E70" s="13" t="str">
        <v>11_二分查找.ipynb</v>
      </c>
      <c r="F70" s="7" t="str">
        <v>lc-34</v>
      </c>
      <c r="G70" s="7" t="str">
        <v>已有详细笔记</v>
      </c>
      <c r="H70" s="7" t="str">
        <v>Hot100</v>
      </c>
      <c r="I70" s="7" t="str">
        <v>中等</v>
      </c>
      <c r="J70" s="12"/>
      <c r="K70" s="12"/>
      <c r="L70" s="12"/>
      <c r="M70" s="7" t="str">
        <v>使用lower_bound方法,lower_bound(x)找到第一个大于等于x的值,使用lower_bound(x+1)-1找到最后一个大于等于0的值,然后再判断是不是目标值;额外关注left的取值范围为[0,len(nums)]</v>
      </c>
      <c r="N70" s="7"/>
      <c r="O70" s="7" t="str"/>
      <c r="P70" s="7" t="str">
        <v>数组 / 二分查找</v>
      </c>
      <c r="Q70" s="7" t="str">
        <v>https://leetcode.cn/problems/find-first-and-last-position-of-element-in-sorted-array/</v>
      </c>
      <c r="R70" s="7" t="str">
        <v>LeetCode Hot100 官网题单分组</v>
      </c>
    </row>
    <row r="71" ht="48" customHeight="1">
      <c r="A71" s="7" t="str">
        <v>二分查找</v>
      </c>
      <c r="B71" s="7" t="str">
        <v>旋转数组与局部性质</v>
      </c>
      <c r="C71" s="8" t="n">
        <v>33</v>
      </c>
      <c r="D71" s="7" t="str">
        <v>搜索旋转排序数组</v>
      </c>
      <c r="E71" s="13" t="str">
        <v>11_二分查找.ipynb</v>
      </c>
      <c r="F71" s="7" t="str">
        <v>lc-33</v>
      </c>
      <c r="G71" s="7" t="str">
        <v>已有详细笔记</v>
      </c>
      <c r="H71" s="7" t="str">
        <v>Hot100</v>
      </c>
      <c r="I71" s="7" t="str">
        <v>中等</v>
      </c>
      <c r="J71" s="12"/>
      <c r="K71" s="12"/>
      <c r="L71" s="12"/>
      <c r="M71" s="7" t="str">
        <v>红蓝染色/二分：判断mid在target的左侧还是右侧,然后进行染色,最终返回的left就应该是target出现的位置,但同时需要进行判断验证left的合理性.</v>
      </c>
      <c r="N71" s="7"/>
      <c r="O71" s="7" t="str"/>
      <c r="P71" s="7" t="str">
        <v>数组 / 二分查找</v>
      </c>
      <c r="Q71" s="7" t="str">
        <v>https://leetcode.cn/problems/search-in-rotated-sorted-array/</v>
      </c>
      <c r="R71" s="7" t="str">
        <v>LeetCode Hot100 官网题单分组</v>
      </c>
    </row>
    <row r="72" ht="63" customHeight="1">
      <c r="A72" s="7" t="str">
        <v>二分查找</v>
      </c>
      <c r="B72" s="7" t="str">
        <v>旋转数组与局部性质</v>
      </c>
      <c r="C72" s="8" t="n">
        <v>153</v>
      </c>
      <c r="D72" s="7" t="str">
        <v>寻找旋转排序数组中的最小值</v>
      </c>
      <c r="E72" s="13" t="str">
        <v>11_二分查找.ipynb</v>
      </c>
      <c r="F72" s="7" t="str">
        <v>lc-153</v>
      </c>
      <c r="G72" s="7" t="str">
        <v>已有详细笔记</v>
      </c>
      <c r="H72" s="7" t="str">
        <v>Hot100</v>
      </c>
      <c r="I72" s="7" t="str">
        <v>中等</v>
      </c>
      <c r="J72" s="12"/>
      <c r="K72" s="12"/>
      <c r="L72" s="12"/>
      <c r="M72" s="7" t="str">
        <v>旋转数组左半部分的元素一定大于右半部分，令中间值与末尾值进行比较，如果中间值大于end，意味着中间值及其左侧的值都在最小值的左侧，染成红色，否则为蓝色，蓝色代表着最小值及其右侧。</v>
      </c>
      <c r="N72" s="7"/>
      <c r="O72" s="7" t="str"/>
      <c r="P72" s="7" t="str">
        <v>数组 / 二分查找</v>
      </c>
      <c r="Q72" s="7" t="str">
        <v>https://leetcode.cn/problems/find-minimum-in-rotated-sorted-array/</v>
      </c>
      <c r="R72" s="7" t="str">
        <v>LeetCode Hot100 官网题单分组</v>
      </c>
    </row>
    <row r="73" ht="48" customHeight="1">
      <c r="A73" s="7" t="str">
        <v>二分查找</v>
      </c>
      <c r="B73" s="7" t="str">
        <v>旋转数组与局部性质</v>
      </c>
      <c r="C73" s="8" t="n">
        <v>162</v>
      </c>
      <c r="D73" s="7" t="str">
        <v>寻找峰值</v>
      </c>
      <c r="E73" s="13" t="str">
        <v>11_二分查找.ipynb</v>
      </c>
      <c r="F73" s="7" t="str">
        <v>lc-162</v>
      </c>
      <c r="G73" s="7" t="str">
        <v>已有详细笔记</v>
      </c>
      <c r="H73" s="7" t="str">
        <v>扩展题</v>
      </c>
      <c r="I73" s="7" t="str">
        <v>中等</v>
      </c>
      <c r="J73" s="12"/>
      <c r="K73" s="12"/>
      <c r="L73" s="12"/>
      <c r="M73" s="7" t="str">
        <v>红蓝染色：nums[mid]&lt;nums[mid+1] 说明峰在右侧，否则峰在左侧</v>
      </c>
      <c r="N73" s="7"/>
      <c r="O73" s="7" t="str">
        <v>153、33</v>
      </c>
      <c r="P73" s="7" t="str">
        <v>旋转数组与局部性质</v>
      </c>
      <c r="Q73" s="7" t="str">
        <v>https://leetcode.cn/problems/find-peak-element/</v>
      </c>
      <c r="R73" s="7" t="str">
        <v>利用相邻元素比较确定峰值方向，扩展二分边界判断。</v>
      </c>
    </row>
    <row r="74" ht="48" customHeight="1">
      <c r="A74" s="7" t="str">
        <v>二分查找</v>
      </c>
      <c r="B74" s="7" t="str">
        <v>中位数划分</v>
      </c>
      <c r="C74" s="8" t="n">
        <v>4</v>
      </c>
      <c r="D74" s="7" t="str">
        <v>寻找两个正序数组的中位数</v>
      </c>
      <c r="E74" s="13" t="str">
        <v>11_二分查找.ipynb</v>
      </c>
      <c r="F74" s="7" t="str">
        <v>lc-4</v>
      </c>
      <c r="G74" s="7" t="str">
        <v>已有详细笔记</v>
      </c>
      <c r="H74" s="7" t="str">
        <v>Hot100</v>
      </c>
      <c r="I74" s="7" t="str">
        <v>困难</v>
      </c>
      <c r="J74" s="12"/>
      <c r="K74" s="12"/>
      <c r="L74" s="12"/>
      <c r="M74" s="7" t="str">
        <v>二分排除：在较短数组上二分划分，保证左半最大&lt;右半最小；注意奇偶长度中位数处理;对于左侧来说,存在a[i]&lt;=b[j+1],右侧则是a[i]&gt;b[j+1</v>
      </c>
      <c r="N74" s="7"/>
      <c r="O74" s="7" t="str"/>
      <c r="P74" s="7" t="str">
        <v>数组 / 二分查找 / 分治</v>
      </c>
      <c r="Q74" s="7" t="str">
        <v>https://leetcode.cn/problems/median-of-two-sorted-arrays/</v>
      </c>
      <c r="R74" s="7" t="str">
        <v>LeetCode Hot100 官网题单分组</v>
      </c>
    </row>
    <row r="75" ht="48" customHeight="1">
      <c r="A75" s="11" t="str">
        <v>栈</v>
      </c>
      <c r="B75" s="11" t="str">
        <v>辅助栈</v>
      </c>
      <c r="C75" s="10" t="n">
        <v>155</v>
      </c>
      <c r="D75" s="9" t="str">
        <v>最小栈</v>
      </c>
      <c r="E75" s="13" t="str">
        <v>12_栈.ipynb</v>
      </c>
      <c r="F75" s="7" t="str">
        <v>lc-155</v>
      </c>
      <c r="G75" s="7" t="str">
        <v>已有详细笔记</v>
      </c>
      <c r="H75" s="7" t="str">
        <v>Hot100</v>
      </c>
      <c r="I75" s="7" t="str">
        <v>中等</v>
      </c>
      <c r="J75" s="12"/>
      <c r="K75" s="12"/>
      <c r="L75" s="12"/>
      <c r="M75" s="7" t="str">
        <v>辅助栈同步压入当前最小值；或每个元素存(值, 当前最小值)</v>
      </c>
      <c r="N75" s="7"/>
      <c r="O75" s="7" t="str"/>
      <c r="P75" s="7" t="str">
        <v>栈 / 设计</v>
      </c>
      <c r="Q75" s="7" t="str">
        <v>https://leetcode.cn/problems/min-stack/</v>
      </c>
      <c r="R75" s="7" t="str">
        <v>LeetCode Hot100 官网题单分组</v>
      </c>
    </row>
    <row r="76" ht="63" customHeight="1">
      <c r="A76" s="7" t="str">
        <v>栈</v>
      </c>
      <c r="B76" s="7" t="str">
        <v>嵌套解析</v>
      </c>
      <c r="C76" s="8" t="n">
        <v>394</v>
      </c>
      <c r="D76" s="7" t="str">
        <v>字符串解码</v>
      </c>
      <c r="E76" s="13" t="str">
        <v>12_栈.ipynb</v>
      </c>
      <c r="F76" s="7" t="str">
        <v>lc-394</v>
      </c>
      <c r="G76" s="7" t="str">
        <v>已有详细笔记</v>
      </c>
      <c r="H76" s="7" t="str">
        <v>Hot100</v>
      </c>
      <c r="I76" s="7" t="str">
        <v>中等</v>
      </c>
      <c r="J76" s="12"/>
      <c r="K76" s="12"/>
      <c r="L76" s="12"/>
      <c r="M76" s="7" t="str">
        <v>此题的巧妙之处在于使用currsum与currstr来存储会遇到的数字与字符，而不是直接将其加入到栈中，正确的做法是当需要二者入栈的时候，处理到新的字符串（即遇到[时）再将其入栈。 char.isdigit()用来判断一…</v>
      </c>
      <c r="N76" s="7"/>
      <c r="O76" s="7" t="str"/>
      <c r="P76" s="7" t="str">
        <v>栈 / 递归 / 字符串</v>
      </c>
      <c r="Q76" s="7" t="str">
        <v>https://leetcode.cn/problems/decode-string/</v>
      </c>
      <c r="R76" s="7" t="str">
        <v>LeetCode Hot100 官网题单分组</v>
      </c>
    </row>
    <row r="77" ht="80" customHeight="1">
      <c r="A77" s="7" t="str">
        <v>栈</v>
      </c>
      <c r="B77" s="7" t="str">
        <v>单调栈</v>
      </c>
      <c r="C77" s="8" t="n">
        <v>739</v>
      </c>
      <c r="D77" s="7" t="str">
        <v>每日温度</v>
      </c>
      <c r="E77" s="13" t="str">
        <v>12_栈.ipynb</v>
      </c>
      <c r="F77" s="7" t="str">
        <v>lc-739</v>
      </c>
      <c r="G77" s="7" t="str">
        <v>已有详细笔记</v>
      </c>
      <c r="H77" s="7" t="str">
        <v>Hot100</v>
      </c>
      <c r="I77" s="7" t="str">
        <v>中等</v>
      </c>
      <c r="J77" s="12"/>
      <c r="K77" s="12"/>
      <c r="L77" s="12"/>
      <c r="M77" s="7" t="str">
        <v>上一个更大更小是通过单调栈的属性判断出来的，下一个更大更小是通过while循环中的比较判断出来的 判断单调栈是递增还是递减就看在什么情况下会弹栈就行 此题的求解要特别留意数组中每个元素的索引值的作用，用索引值相减来得到天…</v>
      </c>
      <c r="N77" s="7"/>
      <c r="O77" s="7" t="str"/>
      <c r="P77" s="7" t="str">
        <v>栈 / 数组 / 单调栈</v>
      </c>
      <c r="Q77" s="7" t="str">
        <v>https://leetcode.cn/problems/daily-temperatures/</v>
      </c>
      <c r="R77" s="7" t="str">
        <v>LeetCode Hot100 官网题单分组</v>
      </c>
    </row>
    <row r="78" ht="48" customHeight="1">
      <c r="A78" s="7" t="str">
        <v>栈</v>
      </c>
      <c r="B78" s="7" t="str">
        <v>单调栈</v>
      </c>
      <c r="C78" s="8" t="n">
        <v>84</v>
      </c>
      <c r="D78" s="7" t="str">
        <v>柱状图中最大的矩形</v>
      </c>
      <c r="E78" s="13" t="str">
        <v>12_栈.ipynb</v>
      </c>
      <c r="F78" s="7" t="str">
        <v>lc-84</v>
      </c>
      <c r="G78" s="7" t="str">
        <v>已有详细笔记</v>
      </c>
      <c r="H78" s="7" t="str">
        <v>Hot100</v>
      </c>
      <c r="I78" s="7" t="str">
        <v>困难</v>
      </c>
      <c r="J78" s="12"/>
      <c r="K78" s="12"/>
      <c r="L78" s="12"/>
      <c r="M78" s="7" t="str">
        <v>思想：枚举每个高度，找到它左右两边最小的值 记住两个-1操作</v>
      </c>
      <c r="N78" s="7"/>
      <c r="O78" s="7" t="str"/>
      <c r="P78" s="7" t="str">
        <v>栈 / 数组 / 单调栈</v>
      </c>
      <c r="Q78" s="7" t="str">
        <v>https://leetcode.cn/problems/largest-rectangle-in-histogram/</v>
      </c>
      <c r="R78" s="7" t="str">
        <v>LeetCode Hot100 官网题单分组</v>
      </c>
    </row>
    <row r="79" ht="48" customHeight="1">
      <c r="A79" s="11" t="str">
        <v>堆</v>
      </c>
      <c r="B79" s="11" t="str">
        <v>第K大与快速选择</v>
      </c>
      <c r="C79" s="10" t="n">
        <v>215</v>
      </c>
      <c r="D79" s="9" t="str">
        <v>数组中的第K个最大元素</v>
      </c>
      <c r="E79" s="13" t="str">
        <v>13_堆.ipynb</v>
      </c>
      <c r="F79" s="7" t="str">
        <v>lc-215</v>
      </c>
      <c r="G79" s="7" t="str">
        <v>已有详细笔记</v>
      </c>
      <c r="H79" s="7" t="str">
        <v>Hot100</v>
      </c>
      <c r="I79" s="7" t="str">
        <v>中等</v>
      </c>
      <c r="J79" s="12"/>
      <c r="K79" s="12"/>
      <c r="L79" s="12"/>
      <c r="M79" s="7" t="str">
        <v>快速选择partition（随机pivot）期望O(n)；或维护大小为k的小顶堆</v>
      </c>
      <c r="N79" s="7"/>
      <c r="O79" s="7" t="str"/>
      <c r="P79" s="7" t="str">
        <v>快速选择 / 堆</v>
      </c>
      <c r="Q79" s="7" t="str">
        <v>https://leetcode.cn/problems/kth-largest-element-in-an-array/</v>
      </c>
      <c r="R79" s="7" t="str">
        <v>LeetCode Hot100 官网题单分组</v>
      </c>
    </row>
    <row r="80" ht="80" customHeight="1">
      <c r="A80" s="7" t="str">
        <v>堆</v>
      </c>
      <c r="B80" s="7" t="str">
        <v>对顶堆</v>
      </c>
      <c r="C80" s="8" t="n">
        <v>295</v>
      </c>
      <c r="D80" s="7" t="str">
        <v>数据流的中位数</v>
      </c>
      <c r="E80" s="13" t="str">
        <v>13_堆.ipynb</v>
      </c>
      <c r="F80" s="7" t="str">
        <v>lc-295</v>
      </c>
      <c r="G80" s="7" t="str">
        <v>已有详细笔记</v>
      </c>
      <c r="H80" s="7" t="str">
        <v>Hot100</v>
      </c>
      <c r="I80" s="7" t="str">
        <v>困难</v>
      </c>
      <c r="J80" s="12"/>
      <c r="K80" s="12"/>
      <c r="L80" s="12"/>
      <c r="M80" s="7" t="str">
        <v>此题的思路时使用最大堆与最小堆存储数据，但因为python只有最小堆，因此采用存储相反数的形式来实现最大堆，取出时记得将数取反即可。 当左右堆大小相等的时候，不要直接向左堆中加入数据，应该先加入到右堆中，然后取出新的右堆…</v>
      </c>
      <c r="N80" s="7"/>
      <c r="O80" s="7" t="str"/>
      <c r="P80" s="7" t="str">
        <v>设计 / 双指针 / 数据流 / 排序 / 堆（优先队列）</v>
      </c>
      <c r="Q80" s="7" t="str">
        <v>https://leetcode.cn/problems/find-median-from-data-stream/</v>
      </c>
      <c r="R80" s="7" t="str">
        <v>LeetCode Hot100 官网题单分组</v>
      </c>
    </row>
    <row r="81" ht="48" customHeight="1">
      <c r="A81" s="11" t="str">
        <v>贪心算法</v>
      </c>
      <c r="B81" s="11" t="str">
        <v>股票买卖（状态机DP扩展）</v>
      </c>
      <c r="C81" s="10" t="n">
        <v>122</v>
      </c>
      <c r="D81" s="9" t="str">
        <v>买卖股票的最佳时机 II</v>
      </c>
      <c r="E81" s="13" t="str">
        <v>14_贪心算法.ipynb</v>
      </c>
      <c r="F81" s="7" t="str">
        <v>lc-122</v>
      </c>
      <c r="G81" s="7" t="str">
        <v>已有详细笔记</v>
      </c>
      <c r="H81" s="7" t="str">
        <v>扩展题</v>
      </c>
      <c r="I81" s="7" t="str">
        <v>中等</v>
      </c>
      <c r="J81" s="12"/>
      <c r="K81" s="12"/>
      <c r="L81" s="12"/>
      <c r="M81" s="7" t="str">
        <v>状态机DP：dp[i][0]不持有、dp[i][1]持有；不限制交易次数，答案=dp[n-1][0]</v>
      </c>
      <c r="N81" s="7"/>
      <c r="O81" s="7" t="str">
        <v>121</v>
      </c>
      <c r="P81" s="7" t="str">
        <v>状态机DP / 股票买卖</v>
      </c>
      <c r="Q81" s="7" t="str">
        <v>https://leetcode.cn/problems/best-time-to-buy-and-sell-stock-ii/</v>
      </c>
      <c r="R81" s="7" t="str">
        <v>按股票买卖题族归组；本地解法使用状态机DP，保留该标签。</v>
      </c>
    </row>
    <row r="82" ht="48" customHeight="1">
      <c r="A82" s="7" t="str">
        <v>贪心算法</v>
      </c>
      <c r="B82" s="7" t="str">
        <v>股票买卖（状态机DP扩展）</v>
      </c>
      <c r="C82" s="8" t="n">
        <v>188</v>
      </c>
      <c r="D82" s="7" t="str">
        <v>买卖股票的最佳时机 IV</v>
      </c>
      <c r="E82" s="13" t="str">
        <v>14_贪心算法.ipynb</v>
      </c>
      <c r="F82" s="7" t="str">
        <v>lc-188</v>
      </c>
      <c r="G82" s="7" t="str">
        <v>已有详细笔记</v>
      </c>
      <c r="H82" s="7" t="str">
        <v>扩展题</v>
      </c>
      <c r="I82" s="7" t="str">
        <v>困难</v>
      </c>
      <c r="J82" s="12"/>
      <c r="K82" s="12"/>
      <c r="L82" s="12"/>
      <c r="M82" s="7" t="str">
        <v>至多k笔：dp[i][j][0/1]，j为已交易次数；j&lt;0不合法，需k+2维空间</v>
      </c>
      <c r="N82" s="7"/>
      <c r="O82" s="7" t="str">
        <v>121</v>
      </c>
      <c r="P82" s="7" t="str">
        <v>状态机DP / 股票买卖</v>
      </c>
      <c r="Q82" s="7" t="str">
        <v>https://leetcode.cn/problems/best-time-to-buy-and-sell-stock-iv/</v>
      </c>
      <c r="R82" s="7" t="str">
        <v>股票买卖限制交易次数；主分类随Hot100股票题，解法标为状态机DP。</v>
      </c>
    </row>
    <row r="83" ht="48" customHeight="1">
      <c r="A83" s="7" t="str">
        <v>贪心算法</v>
      </c>
      <c r="B83" s="7" t="str">
        <v>股票买卖（状态机DP扩展）</v>
      </c>
      <c r="C83" s="8" t="n">
        <v>309</v>
      </c>
      <c r="D83" s="7" t="str">
        <v>买卖股票的最佳时机含冷冻期</v>
      </c>
      <c r="E83" s="13" t="str">
        <v>14_贪心算法.ipynb</v>
      </c>
      <c r="F83" s="7" t="str">
        <v>lc-309</v>
      </c>
      <c r="G83" s="7" t="str">
        <v>已有详细笔记</v>
      </c>
      <c r="H83" s="7" t="str">
        <v>扩展题</v>
      </c>
      <c r="I83" s="7" t="str">
        <v>中等</v>
      </c>
      <c r="J83" s="12"/>
      <c r="K83" s="12"/>
      <c r="L83" s="12"/>
      <c r="M83" s="7" t="str">
        <v>含冷冻期：买入只能从两天前(f2)转移；f0卖出/f1持有/f2冷冻 滚动更新</v>
      </c>
      <c r="N83" s="7"/>
      <c r="O83" s="7" t="str">
        <v>121</v>
      </c>
      <c r="P83" s="7" t="str">
        <v>状态机DP / 股票买卖</v>
      </c>
      <c r="Q83" s="7" t="str">
        <v>https://leetcode.cn/problems/best-time-to-buy-and-sell-stock-with-cooldown/</v>
      </c>
      <c r="R83" s="7" t="str">
        <v>股票买卖加入冷冻期；与同题族一起保存状态机DP笔记。</v>
      </c>
    </row>
    <row r="84" ht="48" customHeight="1">
      <c r="A84" s="7" t="str">
        <v>贪心算法</v>
      </c>
      <c r="B84" s="7" t="str">
        <v>覆盖范围</v>
      </c>
      <c r="C84" s="8" t="n">
        <v>55</v>
      </c>
      <c r="D84" s="7" t="str">
        <v>跳跃游戏</v>
      </c>
      <c r="E84" s="13" t="str">
        <v>14_贪心算法.ipynb</v>
      </c>
      <c r="F84" s="7" t="str">
        <v>lc-55</v>
      </c>
      <c r="G84" s="7" t="str">
        <v>已有详细笔记</v>
      </c>
      <c r="H84" s="7" t="str">
        <v>Hot100</v>
      </c>
      <c r="I84" s="7" t="str">
        <v>中等</v>
      </c>
      <c r="J84" s="12"/>
      <c r="K84" s="12"/>
      <c r="L84" s="12"/>
      <c r="M84" s="7" t="str">
        <v>贪心：维护能到达的最远位置reach，遍历时更新；reach&gt;=n-1即成功</v>
      </c>
      <c r="N84" s="7"/>
      <c r="O84" s="7" t="str"/>
      <c r="P84" s="7" t="str">
        <v>贪心 / 数组 / 动态规划</v>
      </c>
      <c r="Q84" s="7" t="str">
        <v>https://leetcode.cn/problems/jump-game/</v>
      </c>
      <c r="R84" s="7" t="str">
        <v>LeetCode Hot100 官网题单分组</v>
      </c>
    </row>
    <row r="85" ht="48" customHeight="1">
      <c r="A85" s="7" t="str">
        <v>贪心算法</v>
      </c>
      <c r="B85" s="7" t="str">
        <v>覆盖范围</v>
      </c>
      <c r="C85" s="8" t="n">
        <v>45</v>
      </c>
      <c r="D85" s="7" t="str">
        <v>跳跃游戏 II</v>
      </c>
      <c r="E85" s="13" t="str">
        <v>14_贪心算法.ipynb</v>
      </c>
      <c r="F85" s="7" t="str">
        <v>lc-45</v>
      </c>
      <c r="G85" s="7" t="str">
        <v>已有详细笔记</v>
      </c>
      <c r="H85" s="7" t="str">
        <v>Hot100</v>
      </c>
      <c r="I85" s="7" t="str">
        <v>中等</v>
      </c>
      <c r="J85" s="12"/>
      <c r="K85" s="12"/>
      <c r="L85" s="12"/>
      <c r="M85" s="7" t="str">
        <v>条件:从头走到尾 最小子序列:走过的步数最少，涉及到的元素的个数最少，也即最小子序列</v>
      </c>
      <c r="N85" s="7"/>
      <c r="O85" s="7" t="str"/>
      <c r="P85" s="7" t="str">
        <v>贪心 / 数组 / 动态规划</v>
      </c>
      <c r="Q85" s="7" t="str">
        <v>https://leetcode.cn/problems/jump-game-ii/</v>
      </c>
      <c r="R85" s="7" t="str">
        <v>LeetCode Hot100 官网题单分组</v>
      </c>
    </row>
    <row r="86" ht="48" customHeight="1">
      <c r="A86" s="11" t="str">
        <v>动态规划</v>
      </c>
      <c r="B86" s="11" t="str">
        <v>计数递推</v>
      </c>
      <c r="C86" s="10" t="n">
        <v>2266</v>
      </c>
      <c r="D86" s="9" t="str">
        <v>统计打字方案数</v>
      </c>
      <c r="E86" s="13" t="str">
        <v>15_动态规划.ipynb</v>
      </c>
      <c r="F86" s="7" t="str">
        <v>lc-2266</v>
      </c>
      <c r="G86" s="7" t="str">
        <v>已有详细笔记</v>
      </c>
      <c r="H86" s="7" t="str">
        <v>扩展题</v>
      </c>
      <c r="I86" s="7" t="str">
        <v>中等</v>
      </c>
      <c r="J86" s="12"/>
      <c r="K86" s="12"/>
      <c r="L86" s="12"/>
      <c r="M86" s="7" t="str">
        <v>组合计数+DP：连续相同数字分组，每组按键方案满足dp[i]=dp[i-1]+dp[i-2]+dp[i-3]+(4字母键再加dp[i-4])；结果取模1e9+7</v>
      </c>
      <c r="N86" s="7"/>
      <c r="O86" s="7" t="str">
        <v>70</v>
      </c>
      <c r="P86" s="7" t="str">
        <v>计数递推</v>
      </c>
      <c r="Q86" s="7" t="str">
        <v>https://leetcode.cn/problems/count-number-of-texts/</v>
      </c>
      <c r="R86" s="7" t="str">
        <v>把爬楼梯式的分段计数递推应用到连续按键。</v>
      </c>
    </row>
    <row r="87" ht="63" customHeight="1">
      <c r="A87" s="7" t="str">
        <v>动态规划</v>
      </c>
      <c r="B87" s="7" t="str">
        <v>线性递推</v>
      </c>
      <c r="C87" s="8" t="n">
        <v>198</v>
      </c>
      <c r="D87" s="7" t="str">
        <v>打家劫舍</v>
      </c>
      <c r="E87" s="13" t="str">
        <v>15_动态规划.ipynb</v>
      </c>
      <c r="F87" s="7" t="str">
        <v>lc-198</v>
      </c>
      <c r="G87" s="7" t="str">
        <v>已有详细笔记</v>
      </c>
      <c r="H87" s="7" t="str">
        <v>Hot100</v>
      </c>
      <c r="I87" s="7" t="str">
        <v>中等</v>
      </c>
      <c r="J87" s="12"/>
      <c r="K87" s="12"/>
      <c r="L87" s="12"/>
      <c r="M87" s="7" t="str">
        <v>使用动态规划的方法，而对于偷前i个房子的问题，它的最大值为偷取前i-1个房子与偷取前i-2个房子加上当前房子的价格的最大值，因此实际上只需使用两个变量记录i-1与i-2的值，不需要使用一个列表来完整记录每个索引的最大值</v>
      </c>
      <c r="N87" s="7"/>
      <c r="O87" s="7" t="str"/>
      <c r="P87" s="7" t="str">
        <v>数组 / 动态规划</v>
      </c>
      <c r="Q87" s="7" t="str">
        <v>https://leetcode.cn/problems/house-robber/</v>
      </c>
      <c r="R87" s="7" t="str">
        <v>LeetCode Hot100 官网题单分组</v>
      </c>
    </row>
    <row r="88" ht="48" customHeight="1">
      <c r="A88" s="7" t="str">
        <v>动态规划</v>
      </c>
      <c r="B88" s="7" t="str">
        <v>背包</v>
      </c>
      <c r="C88" s="8" t="n">
        <v>322</v>
      </c>
      <c r="D88" s="7" t="str">
        <v>零钱兑换</v>
      </c>
      <c r="E88" s="13" t="str">
        <v>15_动态规划.ipynb</v>
      </c>
      <c r="F88" s="7" t="str">
        <v>lc-322</v>
      </c>
      <c r="G88" s="7" t="str">
        <v>已有详细笔记</v>
      </c>
      <c r="H88" s="7" t="str">
        <v>Hot100</v>
      </c>
      <c r="I88" s="7" t="str">
        <v>中等</v>
      </c>
      <c r="J88" s="12"/>
      <c r="K88" s="12"/>
      <c r="L88" s="12"/>
      <c r="M88" s="7" t="str">
        <v>完全背包：f[i]=min(f[i], f[i-coin]+1)；f初始化为inf、f[0]=0，返回时判断是否可达</v>
      </c>
      <c r="N88" s="7"/>
      <c r="O88" s="7" t="str"/>
      <c r="P88" s="7" t="str">
        <v>广度优先搜索 / 数组 / 动态规划</v>
      </c>
      <c r="Q88" s="7" t="str">
        <v>https://leetcode.cn/problems/coin-change/</v>
      </c>
      <c r="R88" s="7" t="str">
        <v>LeetCode Hot100 官网题单分组</v>
      </c>
    </row>
    <row r="89" ht="48" customHeight="1">
      <c r="A89" s="7" t="str">
        <v>动态规划</v>
      </c>
      <c r="B89" s="7" t="str">
        <v>背包</v>
      </c>
      <c r="C89" s="8" t="n">
        <v>494</v>
      </c>
      <c r="D89" s="7" t="str">
        <v>目标和</v>
      </c>
      <c r="E89" s="13" t="str">
        <v>15_动态规划.ipynb</v>
      </c>
      <c r="F89" s="7" t="str">
        <v>lc-494</v>
      </c>
      <c r="G89" s="7" t="str">
        <v>已有详细笔记</v>
      </c>
      <c r="H89" s="7" t="str">
        <v>扩展题</v>
      </c>
      <c r="I89" s="7" t="str">
        <v>中等</v>
      </c>
      <c r="J89" s="12"/>
      <c r="K89" s="12"/>
      <c r="L89" s="12"/>
      <c r="M89" s="7" t="str">
        <v>01背包：target += sum(nums)，求恰好等于target的方案数（每个数选或不选）</v>
      </c>
      <c r="N89" s="7"/>
      <c r="O89" s="7" t="str">
        <v>416、322</v>
      </c>
      <c r="P89" s="7" t="str">
        <v>背包</v>
      </c>
      <c r="Q89" s="7" t="str">
        <v>https://leetcode.cn/problems/target-sum/</v>
      </c>
      <c r="R89" s="7" t="str">
        <v>01背包计数，与分割等和子集、零钱兑换对应。</v>
      </c>
    </row>
    <row r="90" ht="48" customHeight="1">
      <c r="A90" s="7" t="str">
        <v>动态规划</v>
      </c>
      <c r="B90" s="7" t="str">
        <v>字符串划分</v>
      </c>
      <c r="C90" s="8" t="n">
        <v>139</v>
      </c>
      <c r="D90" s="7" t="str">
        <v>单词拆分</v>
      </c>
      <c r="E90" s="13" t="str">
        <v>15_动态规划.ipynb</v>
      </c>
      <c r="F90" s="7" t="str">
        <v>lc-139</v>
      </c>
      <c r="G90" s="7" t="str">
        <v>已有详细笔记</v>
      </c>
      <c r="H90" s="7" t="str">
        <v>Hot100</v>
      </c>
      <c r="I90" s="7" t="str">
        <v>中等</v>
      </c>
      <c r="J90" s="12"/>
      <c r="K90" s="12"/>
      <c r="L90" s="12"/>
      <c r="M90" s="7" t="str">
        <v>f数组代表着索引i之前的字符串能否被拆分，因此只需考虑f[n]是否为True即可。</v>
      </c>
      <c r="N90" s="7"/>
      <c r="O90" s="7" t="str"/>
      <c r="P90" s="7" t="str">
        <v>字典树 / 记忆化 / 数组 / 哈希表 / 字符串 / 动态规划</v>
      </c>
      <c r="Q90" s="7" t="str">
        <v>https://leetcode.cn/problems/word-break/</v>
      </c>
      <c r="R90" s="7" t="str">
        <v>LeetCode Hot100 官网题单分组</v>
      </c>
    </row>
    <row r="91" ht="48" customHeight="1">
      <c r="A91" s="7" t="str">
        <v>动态规划</v>
      </c>
      <c r="B91" s="7" t="str">
        <v>递增子序列</v>
      </c>
      <c r="C91" s="8" t="n">
        <v>300</v>
      </c>
      <c r="D91" s="7" t="str">
        <v>最长递增子序列</v>
      </c>
      <c r="E91" s="13" t="str">
        <v>15_动态规划.ipynb</v>
      </c>
      <c r="F91" s="7" t="str">
        <v>lc-300</v>
      </c>
      <c r="G91" s="7" t="str">
        <v>已有详细笔记</v>
      </c>
      <c r="H91" s="7" t="str">
        <v>Hot100</v>
      </c>
      <c r="I91" s="7" t="str">
        <v>中等</v>
      </c>
      <c r="J91" s="12"/>
      <c r="K91" s="12"/>
      <c r="L91" s="12"/>
      <c r="M91" s="7" t="str">
        <v>方法一：使用子集型回溯的枚举选哪个思路 方法二： 在LS相同的情况下我们只保存末尾元素最小的那个值，因为末尾元素越小，后续LS的长度才有可能越大</v>
      </c>
      <c r="N91" s="7"/>
      <c r="O91" s="7" t="str"/>
      <c r="P91" s="7" t="str">
        <v>数组 / 二分查找 / 动态规划</v>
      </c>
      <c r="Q91" s="7" t="str">
        <v>https://leetcode.cn/problems/longest-increasing-subsequence/</v>
      </c>
      <c r="R91" s="7" t="str">
        <v>LeetCode Hot100 官网题单分组</v>
      </c>
    </row>
    <row r="92" ht="48" customHeight="1">
      <c r="A92" s="7" t="str">
        <v>动态规划</v>
      </c>
      <c r="B92" s="7" t="str">
        <v>递增子序列</v>
      </c>
      <c r="C92" s="8" t="n">
        <v>1187</v>
      </c>
      <c r="D92" s="7" t="str">
        <v>使数组严格递增</v>
      </c>
      <c r="E92" s="13" t="str">
        <v>15_动态规划.ipynb</v>
      </c>
      <c r="F92" s="7" t="str">
        <v>lc-1187</v>
      </c>
      <c r="G92" s="7" t="str">
        <v>已有详细笔记</v>
      </c>
      <c r="H92" s="7" t="str">
        <v>扩展题</v>
      </c>
      <c r="I92" s="7" t="str">
        <v>困难</v>
      </c>
      <c r="J92" s="12"/>
      <c r="K92" s="12"/>
      <c r="L92" s="12"/>
      <c r="M92" s="7" t="str">
        <v>f[i] 表示：以 a[i] 结尾（且 a[i] 不被替换）时，前 i+1 个元素中最多能保留多少个不替换的元素</v>
      </c>
      <c r="N92" s="7"/>
      <c r="O92" s="7" t="str">
        <v>300</v>
      </c>
      <c r="P92" s="7" t="str">
        <v>递增子序列</v>
      </c>
      <c r="Q92" s="7" t="str">
        <v>https://leetcode.cn/problems/make-array-strictly-increasing/</v>
      </c>
      <c r="R92" s="7" t="str">
        <v>在递增约束中加入替换操作。</v>
      </c>
    </row>
    <row r="93" ht="48" customHeight="1">
      <c r="A93" s="7" t="str">
        <v>动态规划</v>
      </c>
      <c r="B93" s="7" t="str">
        <v>递增子序列</v>
      </c>
      <c r="C93" s="8" t="n">
        <v>1671</v>
      </c>
      <c r="D93" s="7" t="str">
        <v>得到山形数组的最少删除次数</v>
      </c>
      <c r="E93" s="13" t="str">
        <v>15_动态规划.ipynb</v>
      </c>
      <c r="F93" s="7" t="str">
        <v>lc-1671</v>
      </c>
      <c r="G93" s="7" t="str">
        <v>已有详细笔记</v>
      </c>
      <c r="H93" s="7" t="str">
        <v>扩展题</v>
      </c>
      <c r="I93" s="7" t="str">
        <v>困难</v>
      </c>
      <c r="J93" s="12"/>
      <c r="K93" s="12"/>
      <c r="L93" s="12"/>
      <c r="M93" s="7" t="str">
        <v>山形数组：LIS+LDS，枚举峰顶，删除数=n-max(LIS[i]+LDS[i]-1)；峰两侧都需有元素</v>
      </c>
      <c r="N93" s="7"/>
      <c r="O93" s="7" t="str">
        <v>300</v>
      </c>
      <c r="P93" s="7" t="str">
        <v>递增子序列</v>
      </c>
      <c r="Q93" s="7" t="str">
        <v>https://leetcode.cn/problems/minimum-number-of-removals-to-make-mountain-array/</v>
      </c>
      <c r="R93" s="7" t="str">
        <v>结合两个方向的LIS构造山形子序列。</v>
      </c>
    </row>
    <row r="94" ht="48" customHeight="1">
      <c r="A94" s="7" t="str">
        <v>动态规划</v>
      </c>
      <c r="B94" s="7" t="str">
        <v>递增子序列</v>
      </c>
      <c r="C94" s="8" t="n">
        <v>1964</v>
      </c>
      <c r="D94" s="7" t="str">
        <v>找出到每个位置为止的最长合法障碍赛跑路线</v>
      </c>
      <c r="E94" s="13" t="str">
        <v>15_动态规划.ipynb</v>
      </c>
      <c r="F94" s="7" t="str">
        <v>lc-1964</v>
      </c>
      <c r="G94" s="7" t="str">
        <v>已有详细笔记</v>
      </c>
      <c r="H94" s="7" t="str">
        <v>扩展题</v>
      </c>
      <c r="I94" s="7" t="str">
        <v>困难</v>
      </c>
      <c r="J94" s="12"/>
      <c r="K94" s="12"/>
      <c r="L94" s="12"/>
      <c r="M94" s="7" t="str">
        <v>此题与LIS问题的不同之处在于求解的是以某个元素为止的非递减序列的长度，而不是整个数组的最长递增子序列的长度</v>
      </c>
      <c r="N94" s="7"/>
      <c r="O94" s="7" t="str">
        <v>300</v>
      </c>
      <c r="P94" s="7" t="str">
        <v>递增子序列</v>
      </c>
      <c r="Q94" s="7" t="str">
        <v>https://leetcode.cn/problems/longest-obstacle-course-at-each-position/</v>
      </c>
      <c r="R94" s="7" t="str">
        <v>LIS扩展为逐位置的最长非递减子序列。</v>
      </c>
    </row>
    <row r="95" ht="80" customHeight="1">
      <c r="A95" s="7" t="str">
        <v>动态规划</v>
      </c>
      <c r="B95" s="7" t="str">
        <v>连续子数组</v>
      </c>
      <c r="C95" s="8" t="n">
        <v>152</v>
      </c>
      <c r="D95" s="7" t="str">
        <v>乘积最大子数组</v>
      </c>
      <c r="E95" s="13" t="str">
        <v>15_动态规划.ipynb</v>
      </c>
      <c r="F95" s="7" t="str">
        <v>lc-152</v>
      </c>
      <c r="G95" s="7" t="str">
        <v>已有详细笔记</v>
      </c>
      <c r="H95" s="7" t="str">
        <v>Hot100</v>
      </c>
      <c r="I95" s="7" t="str">
        <v>中等</v>
      </c>
      <c r="J95" s="12"/>
      <c r="K95" s="12"/>
      <c r="L95" s="12"/>
      <c r="M95" s="7" t="str">
        <v>这个问题的思路与求解最大连续子数组和很像，不同的点在于不仅要记录当前最大值，还要记录当前最小值，因为如果当前的数是一个负数的话，那么它乘以小值反而得到一个更大的值，因此在遇到负数的情况下，首先需要将之前的大值与小值互换…</v>
      </c>
      <c r="N95" s="7"/>
      <c r="O95" s="7" t="str"/>
      <c r="P95" s="7" t="str">
        <v>数组 / 动态规划</v>
      </c>
      <c r="Q95" s="7" t="str">
        <v>https://leetcode.cn/problems/maximum-product-subarray/</v>
      </c>
      <c r="R95" s="7" t="str">
        <v>LeetCode Hot100 官网题单分组</v>
      </c>
    </row>
    <row r="96" ht="48" customHeight="1">
      <c r="A96" s="7" t="str">
        <v>动态规划</v>
      </c>
      <c r="B96" s="7" t="str">
        <v>括号匹配</v>
      </c>
      <c r="C96" s="8" t="n">
        <v>32</v>
      </c>
      <c r="D96" s="7" t="str">
        <v>最长有效括号</v>
      </c>
      <c r="E96" s="13" t="str">
        <v>15_动态规划.ipynb</v>
      </c>
      <c r="F96" s="7" t="str">
        <v>lc-32</v>
      </c>
      <c r="G96" s="7" t="str">
        <v>已有详细笔记</v>
      </c>
      <c r="H96" s="7" t="str">
        <v>Hot100</v>
      </c>
      <c r="I96" s="7" t="str">
        <v>困难</v>
      </c>
      <c r="J96" s="12"/>
      <c r="K96" s="12"/>
      <c r="L96" s="12"/>
      <c r="M96" s="7" t="str">
        <v>栈存左括号下标，栈底保留最后一个未匹配的')'作哨兵；遇')'弹出并更新ans</v>
      </c>
      <c r="N96" s="7"/>
      <c r="O96" s="7" t="str"/>
      <c r="P96" s="7" t="str">
        <v>栈 / 动态规划</v>
      </c>
      <c r="Q96" s="7" t="str">
        <v>https://leetcode.cn/problems/longest-valid-parentheses/</v>
      </c>
      <c r="R96" s="7" t="str">
        <v>LeetCode Hot100 官网题单分组</v>
      </c>
    </row>
    <row r="97" ht="63" customHeight="1">
      <c r="A97" s="11" t="str">
        <v>多维动态规划</v>
      </c>
      <c r="B97" s="11" t="str">
        <v>多维状态与路径</v>
      </c>
      <c r="C97" s="10" t="n">
        <v>1770</v>
      </c>
      <c r="D97" s="9" t="str">
        <v>执行乘法运算的最大分数</v>
      </c>
      <c r="E97" s="13" t="str">
        <v>16_多维动态规划.ipynb</v>
      </c>
      <c r="F97" s="7" t="str">
        <v>lc-1770</v>
      </c>
      <c r="G97" s="7" t="str">
        <v>已有详细笔记</v>
      </c>
      <c r="H97" s="7" t="str">
        <v>扩展题</v>
      </c>
      <c r="I97" s="7" t="str">
        <v>困难</v>
      </c>
      <c r="J97" s="12"/>
      <c r="K97" s="12"/>
      <c r="L97" s="12"/>
      <c r="M97" s="7" t="str">
        <v>这个题最难的点在于f数组的理解，f[i][j]计算的是剩余操作的最大分数，也就是从第i+1步操作到第m步的最大分数，而j代表着已经选取了j个左侧的值，同时也指明了当前左指针正指向j这个元素，选取的值不论左右，是不会计入到…</v>
      </c>
      <c r="N97" s="7"/>
      <c r="O97" s="7" t="str">
        <v>64</v>
      </c>
      <c r="P97" s="7" t="str">
        <v>多维状态与路径</v>
      </c>
      <c r="Q97" s="7" t="str">
        <v>https://leetcode.cn/problems/maximum-score-from-performing-multiplication-operations/</v>
      </c>
      <c r="R97" s="7" t="str">
        <v>按操作次数和左侧选择数建二维状态，属于多维DP扩展。</v>
      </c>
    </row>
    <row r="98" ht="48" customHeight="1">
      <c r="A98" s="7" t="str">
        <v>多维动态规划</v>
      </c>
      <c r="B98" s="7" t="str">
        <v>回文与区间DP</v>
      </c>
      <c r="C98" s="8" t="n">
        <v>5</v>
      </c>
      <c r="D98" s="7" t="str">
        <v>最长回文子串</v>
      </c>
      <c r="E98" s="13" t="str">
        <v>16_多维动态规划.ipynb</v>
      </c>
      <c r="F98" s="7" t="str">
        <v>lc-5</v>
      </c>
      <c r="G98" s="7" t="str">
        <v>已有详细笔记</v>
      </c>
      <c r="H98" s="7" t="str">
        <v>Hot100</v>
      </c>
      <c r="I98" s="7" t="str">
        <v>中等</v>
      </c>
      <c r="J98" s="12"/>
      <c r="K98" s="12"/>
      <c r="L98" s="12"/>
      <c r="M98" s="7" t="str">
        <v>使用这种方法通过一次循环就实现了对每个位置的奇回文串与偶回文串的检查</v>
      </c>
      <c r="N98" s="7"/>
      <c r="O98" s="7" t="str"/>
      <c r="P98" s="7" t="str">
        <v>中心扩展 / 多维动态规划</v>
      </c>
      <c r="Q98" s="7" t="str">
        <v>https://leetcode.cn/problems/longest-palindromic-substring/</v>
      </c>
      <c r="R98" s="7" t="str">
        <v>LeetCode Hot100 官网题单分组</v>
      </c>
    </row>
    <row r="99" ht="48" customHeight="1">
      <c r="A99" s="7" t="str">
        <v>多维动态规划</v>
      </c>
      <c r="B99" s="7" t="str">
        <v>回文与区间DP</v>
      </c>
      <c r="C99" s="8" t="n">
        <v>516</v>
      </c>
      <c r="D99" s="7" t="str">
        <v>最长回文子序列</v>
      </c>
      <c r="E99" s="13" t="str">
        <v>16_多维动态规划.ipynb</v>
      </c>
      <c r="F99" s="7" t="str">
        <v>lc-516</v>
      </c>
      <c r="G99" s="7" t="str">
        <v>已有详细笔记</v>
      </c>
      <c r="H99" s="7" t="str">
        <v>扩展题</v>
      </c>
      <c r="I99" s="7" t="str">
        <v>中等</v>
      </c>
      <c r="J99" s="12"/>
      <c r="K99" s="12"/>
      <c r="L99" s="12"/>
      <c r="M99" s="7" t="str">
        <v>区间DP：f[i][j]表示s[i..j]的最长回文子序列；s[i]==s[j]则+2，否则取max(去左,去右)</v>
      </c>
      <c r="N99" s="7"/>
      <c r="O99" s="7" t="str">
        <v>5</v>
      </c>
      <c r="P99" s="7" t="str">
        <v>回文与区间DP</v>
      </c>
      <c r="Q99" s="7" t="str">
        <v>https://leetcode.cn/problems/longest-palindromic-subsequence/</v>
      </c>
      <c r="R99" s="7" t="str">
        <v>从回文子串扩展到回文子序列。</v>
      </c>
    </row>
    <row r="100" ht="63" customHeight="1">
      <c r="A100" s="7" t="str">
        <v>多维动态规划</v>
      </c>
      <c r="B100" s="7" t="str">
        <v>回文与区间DP</v>
      </c>
      <c r="C100" s="8" t="n">
        <v>647</v>
      </c>
      <c r="D100" s="7" t="str">
        <v>回文子串</v>
      </c>
      <c r="E100" s="13" t="str">
        <v>16_多维动态规划.ipynb</v>
      </c>
      <c r="F100" s="7" t="str">
        <v>lc-647</v>
      </c>
      <c r="G100" s="7" t="str">
        <v>已有详细笔记</v>
      </c>
      <c r="H100" s="7" t="str">
        <v>扩展题</v>
      </c>
      <c r="I100" s="7" t="str">
        <v>中等</v>
      </c>
      <c r="J100" s="12"/>
      <c r="K100" s="12"/>
      <c r="L100" s="12"/>
      <c r="M100" s="7" t="str">
        <v>是用动态规划思路解答这个问题的关键在于想清楚dp数组的含义，[i,j]的含义不是从i到j的字符字串中含有多少回文子串，而是判断这个子串是不是一个回文串，因此dp数组有True与False构成，通过统计True的数量来判断…</v>
      </c>
      <c r="N100" s="7"/>
      <c r="O100" s="7" t="str">
        <v>5</v>
      </c>
      <c r="P100" s="7" t="str">
        <v>回文与区间DP</v>
      </c>
      <c r="Q100" s="7" t="str">
        <v>https://leetcode.cn/problems/palindromic-substrings/</v>
      </c>
      <c r="R100" s="7" t="str">
        <v>从最长回文子串扩展到回文子串计数。</v>
      </c>
    </row>
    <row r="101" ht="48" customHeight="1">
      <c r="A101" s="7" t="str">
        <v>多维动态规划</v>
      </c>
      <c r="B101" s="7" t="str">
        <v>回文与区间DP</v>
      </c>
      <c r="C101" s="8" t="n">
        <v>1039</v>
      </c>
      <c r="D101" s="7" t="str">
        <v>多边形三角剖分的最低得分</v>
      </c>
      <c r="E101" s="13" t="str">
        <v>16_多维动态规划.ipynb</v>
      </c>
      <c r="F101" s="7" t="str">
        <v>lc-1039</v>
      </c>
      <c r="G101" s="7" t="str">
        <v>已有详细笔记</v>
      </c>
      <c r="H101" s="7" t="str">
        <v>扩展题</v>
      </c>
      <c r="I101" s="7" t="str">
        <v>中等</v>
      </c>
      <c r="J101" s="12"/>
      <c r="K101" s="12"/>
      <c r="L101" s="12"/>
      <c r="M101" s="7" t="str">
        <v>回溯三问： 1.当前操作：在(i，j)的范围内枚举一个数k 2.子问题：求解(i,j)的最低得分 3.下一个子问题：求解(i,k)与(k,j)的最低得分</v>
      </c>
      <c r="N101" s="7"/>
      <c r="O101" s="7" t="str">
        <v>5</v>
      </c>
      <c r="P101" s="7" t="str">
        <v>回文与区间DP</v>
      </c>
      <c r="Q101" s="7" t="str">
        <v>https://leetcode.cn/problems/minimum-score-triangulation-of-polygon/</v>
      </c>
      <c r="R101" s="7" t="str">
        <v>与回文区间DP共享区间状态；在区间内枚举分割点。</v>
      </c>
    </row>
    <row r="102" ht="48" customHeight="1">
      <c r="A102" s="7" t="str">
        <v>多维动态规划</v>
      </c>
      <c r="B102" s="7" t="str">
        <v>双序列</v>
      </c>
      <c r="C102" s="8" t="n">
        <v>1143</v>
      </c>
      <c r="D102" s="7" t="str">
        <v>最长公共子序列</v>
      </c>
      <c r="E102" s="13" t="str">
        <v>16_多维动态规划.ipynb</v>
      </c>
      <c r="F102" s="7" t="str">
        <v>lc-1143</v>
      </c>
      <c r="G102" s="7" t="str">
        <v>已有详细笔记</v>
      </c>
      <c r="H102" s="7" t="str">
        <v>Hot100</v>
      </c>
      <c r="I102" s="7" t="str">
        <v>中等</v>
      </c>
      <c r="J102" s="12"/>
      <c r="K102" s="12"/>
      <c r="L102" s="12"/>
      <c r="M102" s="7" t="str">
        <v>二维DP：text1[i]==text2[j]则f[i][j]=f[i-1][j-1]+1，否则取max(f[i-1][j], f[i][j-1])</v>
      </c>
      <c r="N102" s="7"/>
      <c r="O102" s="7" t="str"/>
      <c r="P102" s="7" t="str">
        <v>字符串 / 动态规划</v>
      </c>
      <c r="Q102" s="7" t="str">
        <v>https://leetcode.cn/problems/longest-common-subsequence/</v>
      </c>
      <c r="R102" s="7" t="str">
        <v>LeetCode Hot100 官网题单分组</v>
      </c>
    </row>
    <row r="103" ht="48" customHeight="1">
      <c r="A103" s="7" t="str">
        <v>多维动态规划</v>
      </c>
      <c r="B103" s="7" t="str">
        <v>双序列</v>
      </c>
      <c r="C103" s="8" t="n">
        <v>712</v>
      </c>
      <c r="D103" s="7" t="str">
        <v>两个字符串的最小ASCII删除和</v>
      </c>
      <c r="E103" s="13" t="str">
        <v>16_多维动态规划.ipynb</v>
      </c>
      <c r="F103" s="7" t="str">
        <v>lc-712</v>
      </c>
      <c r="G103" s="7" t="str">
        <v>已有详细笔记</v>
      </c>
      <c r="H103" s="7" t="str">
        <v>扩展题</v>
      </c>
      <c r="I103" s="7" t="str">
        <v>中等</v>
      </c>
      <c r="J103" s="12"/>
      <c r="K103" s="12"/>
      <c r="L103" s="12"/>
      <c r="M103" s="7" t="str">
        <v>LCS变式：总ASCII和-2×LCS；或直接DP，两字符不同时取删s1[i]或删s2[j]的较小值</v>
      </c>
      <c r="N103" s="7"/>
      <c r="O103" s="7" t="str">
        <v>1143、72</v>
      </c>
      <c r="P103" s="7" t="str">
        <v>双序列</v>
      </c>
      <c r="Q103" s="7" t="str">
        <v>https://leetcode.cn/problems/minimum-ascii-delete-sum-for-two-strings/</v>
      </c>
      <c r="R103" s="7" t="str">
        <v>把双序列匹配扩展为字符删除代价。</v>
      </c>
    </row>
    <row r="104" ht="48" customHeight="1">
      <c r="A104" s="7" t="str">
        <v>多维动态规划</v>
      </c>
      <c r="B104" s="7" t="str">
        <v>双序列</v>
      </c>
      <c r="C104" s="8" t="n">
        <v>72</v>
      </c>
      <c r="D104" s="7" t="str">
        <v>编辑距离</v>
      </c>
      <c r="E104" s="13" t="str">
        <v>16_多维动态规划.ipynb</v>
      </c>
      <c r="F104" s="7" t="str">
        <v>lc-72</v>
      </c>
      <c r="G104" s="7" t="str">
        <v>已有详细笔记</v>
      </c>
      <c r="H104" s="7" t="str">
        <v>Hot100</v>
      </c>
      <c r="I104" s="7" t="str">
        <v>中等</v>
      </c>
      <c r="J104" s="12"/>
      <c r="K104" s="12"/>
      <c r="L104" s="12"/>
      <c r="M104" s="7" t="str">
        <v>DP：f[i][j]编辑距离；末尾字符相同直接继承，不同则取增/删/改三者最小值+1</v>
      </c>
      <c r="N104" s="7"/>
      <c r="O104" s="7" t="str"/>
      <c r="P104" s="7" t="str">
        <v>字符串 / 动态规划</v>
      </c>
      <c r="Q104" s="7" t="str">
        <v>https://leetcode.cn/problems/edit-distance/</v>
      </c>
      <c r="R104" s="7" t="str">
        <v>LeetCode Hot100 官网题单分组</v>
      </c>
    </row>
    <row r="105" ht="48" customHeight="1">
      <c r="A105" s="11" t="str">
        <v>技巧</v>
      </c>
      <c r="B105" s="11" t="str">
        <v>三路划分</v>
      </c>
      <c r="C105" s="10" t="n">
        <v>75</v>
      </c>
      <c r="D105" s="9" t="str">
        <v>颜色分类</v>
      </c>
      <c r="E105" s="13" t="str">
        <v>17_技巧.ipynb</v>
      </c>
      <c r="F105" s="7" t="str">
        <v>lc-75</v>
      </c>
      <c r="G105" s="7" t="str">
        <v>已有详细笔记</v>
      </c>
      <c r="H105" s="7" t="str">
        <v>Hot100</v>
      </c>
      <c r="I105" s="7" t="str">
        <v>中等</v>
      </c>
      <c r="J105" s="12"/>
      <c r="K105" s="12"/>
      <c r="L105" s="12"/>
      <c r="M105" s="7" t="str">
        <v>荷兰国旗三指针：[0,zero]全0、[two,n-1]全2、中间为1；partition交换</v>
      </c>
      <c r="N105" s="7"/>
      <c r="O105" s="7" t="str"/>
      <c r="P105" s="7" t="str">
        <v>三指针 / 荷兰国旗</v>
      </c>
      <c r="Q105" s="7" t="str">
        <v>https://leetcode.cn/problems/sort-colors/</v>
      </c>
      <c r="R105" s="7" t="str">
        <v>LeetCode Hot100 官网题单分组</v>
      </c>
    </row>
    <row r="106" ht="48" customHeight="1">
      <c r="A106" s="7" t="str">
        <v>技巧</v>
      </c>
      <c r="B106" s="7" t="str">
        <v>排列变换</v>
      </c>
      <c r="C106" s="8" t="n">
        <v>31</v>
      </c>
      <c r="D106" s="7" t="str">
        <v>下一个排列</v>
      </c>
      <c r="E106" s="13" t="str">
        <v>17_技巧.ipynb</v>
      </c>
      <c r="F106" s="7" t="str">
        <v>lc-31</v>
      </c>
      <c r="G106" s="7" t="str">
        <v>已有详细笔记</v>
      </c>
      <c r="H106" s="7" t="str">
        <v>Hot100</v>
      </c>
      <c r="I106" s="7" t="str">
        <v>中等</v>
      </c>
      <c r="J106" s="12"/>
      <c r="K106" s="12"/>
      <c r="L106" s="12"/>
      <c r="M106" s="7" t="str">
        <v>思路： 1.从右向左，找第一个小于右侧相邻数字的数 x 2.找 x 右边最小的大于 x 的数 y，交换 x 和 y 3.反转 y 右边的数，把右边的数变成最小的排列</v>
      </c>
      <c r="N106" s="7"/>
      <c r="O106" s="7" t="str"/>
      <c r="P106" s="7" t="str">
        <v>数组 / 双指针</v>
      </c>
      <c r="Q106" s="7" t="str">
        <v>https://leetcode.cn/problems/next-permutation/</v>
      </c>
      <c r="R106" s="7" t="str">
        <v>LeetCode Hot100 官网题单分组</v>
      </c>
    </row>
    <row r="107" ht="63" customHeight="1">
      <c r="A107" s="7" t="str">
        <v>技巧</v>
      </c>
      <c r="B107" s="7" t="str">
        <v>判圈</v>
      </c>
      <c r="C107" s="8" t="n">
        <v>287</v>
      </c>
      <c r="D107" s="7" t="str">
        <v>寻找重复数</v>
      </c>
      <c r="E107" s="13" t="str">
        <v>17_技巧.ipynb</v>
      </c>
      <c r="F107" s="7" t="str">
        <v>lc-287</v>
      </c>
      <c r="G107" s="7" t="str">
        <v>已有详细笔记</v>
      </c>
      <c r="H107" s="7" t="str">
        <v>Hot100</v>
      </c>
      <c r="I107" s="7" t="str">
        <v>中等</v>
      </c>
      <c r="J107" s="12"/>
      <c r="K107" s="12"/>
      <c r="L107" s="12"/>
      <c r="M107" s="7" t="str">
        <v>这题的关键在于给出一个包含n+1个数字的数组，且数组的取值位于[1,n],可以这么看待问题，把这n+1个数对应的索引看成是n+1个节点，标号从0到n，构建从i到nums[i]的映射，nums[i]的值就代表了i这个节点指…</v>
      </c>
      <c r="N107" s="7"/>
      <c r="O107" s="7" t="str"/>
      <c r="P107" s="7" t="str">
        <v>快慢指针 / 判圈</v>
      </c>
      <c r="Q107" s="7" t="str">
        <v>https://leetcode.cn/problems/find-the-duplicate-number/</v>
      </c>
      <c r="R107" s="7" t="str">
        <v>LeetCode Hot100 官网题单分组</v>
      </c>
    </row>
  </sheetData>
  <conditionalFormatting sqref="I5:I107">
    <cfRule type="containsText" dxfId="0" priority="1" operator="containsText" text="困难"/>
    <cfRule type="containsText" dxfId="1" priority="2" operator="containsText" text="中等"/>
    <cfRule type="containsText" dxfId="2" priority="3" operator="containsText" text="简单"/>
  </conditionalFormatting>
  <hyperlinks>
    <hyperlink ref="E5" display="01_哈希.ipynb" r:id="codexHyperlink1"/>
    <hyperlink ref="E6" display="01_哈希.ipynb" r:id="codexHyperlink2"/>
    <hyperlink ref="E7" display="02_双指针.ipynb" r:id="codexHyperlink3"/>
    <hyperlink ref="E8" display="02_双指针.ipynb" r:id="codexHyperlink4"/>
    <hyperlink ref="E9" display="02_双指针.ipynb" r:id="codexHyperlink5"/>
    <hyperlink ref="E10" display="02_双指针.ipynb" r:id="codexHyperlink6"/>
    <hyperlink ref="E11" display="03_滑动窗口.ipynb" r:id="codexHyperlink7"/>
    <hyperlink ref="E12" display="03_滑动窗口.ipynb" r:id="codexHyperlink8"/>
    <hyperlink ref="E13" display="03_滑动窗口.ipynb" r:id="codexHyperlink9"/>
    <hyperlink ref="E14" display="03_滑动窗口.ipynb" r:id="codexHyperlink10"/>
    <hyperlink ref="E15" display="04_子串.ipynb" r:id="codexHyperlink11"/>
    <hyperlink ref="E16" display="04_子串.ipynb" r:id="codexHyperlink12"/>
    <hyperlink ref="E17" display="04_子串.ipynb" r:id="codexHyperlink13"/>
    <hyperlink ref="E18" display="05_普通数组.ipynb" r:id="codexHyperlink14"/>
    <hyperlink ref="E19" display="05_普通数组.ipynb" r:id="codexHyperlink15"/>
    <hyperlink ref="E20" display="05_普通数组.ipynb" r:id="codexHyperlink16"/>
    <hyperlink ref="E21" display="05_普通数组.ipynb" r:id="codexHyperlink17"/>
    <hyperlink ref="E22" display="05_普通数组.ipynb" r:id="codexHyperlink18"/>
    <hyperlink ref="E23" display="06_矩阵.ipynb" r:id="codexHyperlink19"/>
    <hyperlink ref="E24" display="06_矩阵.ipynb" r:id="codexHyperlink20"/>
    <hyperlink ref="E25" display="06_矩阵.ipynb" r:id="codexHyperlink21"/>
    <hyperlink ref="E26" display="06_矩阵.ipynb" r:id="codexHyperlink22"/>
    <hyperlink ref="E27" display="07_链表.ipynb" r:id="codexHyperlink23"/>
    <hyperlink ref="E28" display="07_链表.ipynb" r:id="codexHyperlink24"/>
    <hyperlink ref="E29" display="07_链表.ipynb" r:id="codexHyperlink25"/>
    <hyperlink ref="E30" display="07_链表.ipynb" r:id="codexHyperlink26"/>
    <hyperlink ref="E31" display="07_链表.ipynb" r:id="codexHyperlink27"/>
    <hyperlink ref="E32" display="07_链表.ipynb" r:id="codexHyperlink28"/>
    <hyperlink ref="E33" display="07_链表.ipynb" r:id="codexHyperlink29"/>
    <hyperlink ref="E34" display="07_链表.ipynb" r:id="codexHyperlink30"/>
    <hyperlink ref="E35" display="07_链表.ipynb" r:id="codexHyperlink31"/>
    <hyperlink ref="E36" display="07_链表.ipynb" r:id="codexHyperlink32"/>
    <hyperlink ref="E37" display="07_链表.ipynb" r:id="codexHyperlink33"/>
    <hyperlink ref="E38" display="07_链表.ipynb" r:id="codexHyperlink34"/>
    <hyperlink ref="E39" display="07_链表.ipynb" r:id="codexHyperlink35"/>
    <hyperlink ref="E40" display="08_二叉树.ipynb" r:id="codexHyperlink36"/>
    <hyperlink ref="E41" display="08_二叉树.ipynb" r:id="codexHyperlink37"/>
    <hyperlink ref="E42" display="08_二叉树.ipynb" r:id="codexHyperlink38"/>
    <hyperlink ref="E43" display="08_二叉树.ipynb" r:id="codexHyperlink39"/>
    <hyperlink ref="E44" display="08_二叉树.ipynb" r:id="codexHyperlink40"/>
    <hyperlink ref="E45" display="08_二叉树.ipynb" r:id="codexHyperlink41"/>
    <hyperlink ref="E46" display="08_二叉树.ipynb" r:id="codexHyperlink42"/>
    <hyperlink ref="E47" display="08_二叉树.ipynb" r:id="codexHyperlink43"/>
    <hyperlink ref="E48" display="08_二叉树.ipynb" r:id="codexHyperlink44"/>
    <hyperlink ref="E49" display="08_二叉树.ipynb" r:id="codexHyperlink45"/>
    <hyperlink ref="E50" display="08_二叉树.ipynb" r:id="codexHyperlink46"/>
    <hyperlink ref="E51" display="08_二叉树.ipynb" r:id="codexHyperlink47"/>
    <hyperlink ref="E52" display="08_二叉树.ipynb" r:id="codexHyperlink48"/>
    <hyperlink ref="E53" display="08_二叉树.ipynb" r:id="codexHyperlink49"/>
    <hyperlink ref="E54" display="08_二叉树.ipynb" r:id="codexHyperlink50"/>
    <hyperlink ref="E55" display="08_二叉树.ipynb" r:id="codexHyperlink51"/>
    <hyperlink ref="E56" display="08_二叉树.ipynb" r:id="codexHyperlink52"/>
    <hyperlink ref="E57" display="08_二叉树.ipynb" r:id="codexHyperlink53"/>
    <hyperlink ref="E58" display="09_图论.ipynb" r:id="codexHyperlink54"/>
    <hyperlink ref="E59" display="09_图论.ipynb" r:id="codexHyperlink55"/>
    <hyperlink ref="E60" display="09_图论.ipynb" r:id="codexHyperlink56"/>
    <hyperlink ref="E61" display="10_回溯.ipynb" r:id="codexHyperlink57"/>
    <hyperlink ref="E62" display="10_回溯.ipynb" r:id="codexHyperlink58"/>
    <hyperlink ref="E63" display="10_回溯.ipynb" r:id="codexHyperlink59"/>
    <hyperlink ref="E64" display="10_回溯.ipynb" r:id="codexHyperlink60"/>
    <hyperlink ref="E65" display="10_回溯.ipynb" r:id="codexHyperlink61"/>
    <hyperlink ref="E66" display="10_回溯.ipynb" r:id="codexHyperlink62"/>
    <hyperlink ref="E67" display="10_回溯.ipynb" r:id="codexHyperlink63"/>
    <hyperlink ref="E68" display="10_回溯.ipynb" r:id="codexHyperlink64"/>
    <hyperlink ref="E69" display="11_二分查找.ipynb" r:id="codexHyperlink65"/>
    <hyperlink ref="E70" display="11_二分查找.ipynb" r:id="codexHyperlink66"/>
    <hyperlink ref="E71" display="11_二分查找.ipynb" r:id="codexHyperlink67"/>
    <hyperlink ref="E72" display="11_二分查找.ipynb" r:id="codexHyperlink68"/>
    <hyperlink ref="E73" display="11_二分查找.ipynb" r:id="codexHyperlink69"/>
    <hyperlink ref="E74" display="11_二分查找.ipynb" r:id="codexHyperlink70"/>
    <hyperlink ref="E75" display="12_栈.ipynb" r:id="codexHyperlink71"/>
    <hyperlink ref="E76" display="12_栈.ipynb" r:id="codexHyperlink72"/>
    <hyperlink ref="E77" display="12_栈.ipynb" r:id="codexHyperlink73"/>
    <hyperlink ref="E78" display="12_栈.ipynb" r:id="codexHyperlink74"/>
    <hyperlink ref="E79" display="13_堆.ipynb" r:id="codexHyperlink75"/>
    <hyperlink ref="E80" display="13_堆.ipynb" r:id="codexHyperlink76"/>
    <hyperlink ref="E81" display="14_贪心算法.ipynb" r:id="codexHyperlink77"/>
    <hyperlink ref="E82" display="14_贪心算法.ipynb" r:id="codexHyperlink78"/>
    <hyperlink ref="E83" display="14_贪心算法.ipynb" r:id="codexHyperlink79"/>
    <hyperlink ref="E84" display="14_贪心算法.ipynb" r:id="codexHyperlink80"/>
    <hyperlink ref="E85" display="14_贪心算法.ipynb" r:id="codexHyperlink81"/>
    <hyperlink ref="E86" display="15_动态规划.ipynb" r:id="codexHyperlink82"/>
    <hyperlink ref="E87" display="15_动态规划.ipynb" r:id="codexHyperlink83"/>
    <hyperlink ref="E88" display="15_动态规划.ipynb" r:id="codexHyperlink84"/>
    <hyperlink ref="E89" display="15_动态规划.ipynb" r:id="codexHyperlink85"/>
    <hyperlink ref="E90" display="15_动态规划.ipynb" r:id="codexHyperlink86"/>
    <hyperlink ref="E91" display="15_动态规划.ipynb" r:id="codexHyperlink87"/>
    <hyperlink ref="E92" display="15_动态规划.ipynb" r:id="codexHyperlink88"/>
    <hyperlink ref="E93" display="15_动态规划.ipynb" r:id="codexHyperlink89"/>
    <hyperlink ref="E94" display="15_动态规划.ipynb" r:id="codexHyperlink90"/>
    <hyperlink ref="E95" display="15_动态规划.ipynb" r:id="codexHyperlink91"/>
    <hyperlink ref="E96" display="15_动态规划.ipynb" r:id="codexHyperlink92"/>
    <hyperlink ref="E97" display="16_多维动态规划.ipynb" r:id="codexHyperlink93"/>
    <hyperlink ref="E98" display="16_多维动态规划.ipynb" r:id="codexHyperlink94"/>
    <hyperlink ref="E99" display="16_多维动态规划.ipynb" r:id="codexHyperlink95"/>
    <hyperlink ref="E100" display="16_多维动态规划.ipynb" r:id="codexHyperlink96"/>
    <hyperlink ref="E101" display="16_多维动态规划.ipynb" r:id="codexHyperlink97"/>
    <hyperlink ref="E102" display="16_多维动态规划.ipynb" r:id="codexHyperlink98"/>
    <hyperlink ref="E103" display="16_多维动态规划.ipynb" r:id="codexHyperlink99"/>
    <hyperlink ref="E104" display="16_多维动态规划.ipynb" r:id="codexHyperlink100"/>
    <hyperlink ref="E105" display="17_技巧.ipynb" r:id="codexHyperlink101"/>
    <hyperlink ref="E106" display="17_技巧.ipynb" r:id="codexHyperlink102"/>
    <hyperlink ref="E107" display="17_技巧.ipynb" r:id="codexHyperlink103"/>
  </hyperlinks>
  <pageMargins left="0.7" right="0.7" top="0.75" bottom="0.75" header="0.3" footer="0.3"/>
  <tableParts count="1">
    <tablePart r:id="R46e72f1a886b47c6"/>
  </tableParts>
</worksheet>
</file>

<file path=xl/worksheets/sheet3.xml><?xml version="1.0" encoding="utf-8"?>
<x:worksheet xmlns:x="http://schemas.openxmlformats.org/spreadsheetml/2006/main">
  <x:sheetViews>
    <x:sheetView showGridLines="0" workbookViewId="0"/>
  </x:sheetViews>
  <x:sheetFormatPr defaultRowHeight="15"/>
  <x:cols>
    <x:col min="1" max="1" width="23" hidden="0" customWidth="1"/>
    <x:col min="2" max="2" width="110" hidden="0" customWidth="1"/>
  </x:cols>
  <x:sheetData>
    <x:row r="1" ht="32" customHeight="1">
      <x:c r="A1" s="3" t="str">
        <x:v>使用说明</x:v>
      </x:c>
      <x:c r="B1" s="2"/>
    </x:row>
    <x:row r="2">
      <x:c r="A2" s="2"/>
      <x:c r="B2" s="2"/>
    </x:row>
    <x:row r="3" ht="30" customHeight="1">
      <x:c r="A3" s="6" t="str">
        <x:v>事项</x:v>
      </x:c>
      <x:c r="B3" s="6" t="str">
        <x:v>说明</x:v>
      </x:c>
    </x:row>
    <x:row r="4" ht="44" customHeight="1">
      <x:c r="A4" s="7" t="str">
        <x:v>开始使用</x:v>
      </x:c>
      <x:c r="B4" s="7" t="str">
        <x:v>先看分类导航，再从题目总表筛选官网分类、题号、范围或解法标签。</x:v>
      </x:c>
    </x:row>
    <x:row r="5" ht="50" customHeight="1">
      <x:c r="A5" s="7" t="str">
        <x:v>打开题解</x:v>
      </x:c>
      <x:c r="B5" s="7" t="str">
        <x:v>点击“题解文档”打开对应ipynb；“章节”中的lc-题号可在编辑器内搜索。README和笔记目录也提供章节链接。</x:v>
      </x:c>
    </x:row>
    <x:row r="6" ht="50" customHeight="1">
      <x:c r="A6" s="7" t="str">
        <x:v>链接位置</x:v>
      </x:c>
      <x:c r="B6" s="7" t="str">
        <x:v>保持整个leetcode文件夹的相对位置。Excel使用本地文件关联打开ipynb；编辑器不支持章节链接时，按章节标识搜索。</x:v>
      </x:c>
    </x:row>
    <x:row r="7" ht="44" customHeight="1">
      <x:c r="A7" s="7" t="str">
        <x:v>维护进度</x:v>
      </x:c>
      <x:c r="B7" s="7" t="str">
        <x:v>只在题目总表编辑频次、状态、刷题次数，避免分类页出现重复记录。黄色列为这些可填写项。</x:v>
      </x:c>
    </x:row>
    <x:row r="8" ht="44" customHeight="1">
      <x:c r="A8" s="7" t="str">
        <x:v>分类与解法</x:v>
      </x:c>
      <x:c r="B8" s="7" t="str">
        <x:v>主分类严格采用Hot100题单的分组，不等同于题目的所有算法标签。扩展题按关联题族归组。</x:v>
      </x:c>
    </x:row>
    <x:row r="9" ht="50" customHeight="1">
      <x:c r="A9" s="7" t="str">
        <x:v>股票和一般树</x:v>
      </x:c>
      <x:c r="B9" s="7" t="str">
        <x:v>股票状态机DP扩展随官网121股票题放在贪心算法。一般树直径扩展随543放在二叉树，子专题和解法标签明确区分。</x:v>
      </x:c>
    </x:row>
    <x:row r="10" ht="44" customHeight="1">
      <x:c r="A10" s="7" t="str">
        <x:v>已有详细笔记</x:v>
      </x:c>
      <x:c r="B10" s="7" t="str">
        <x:v>已找到该题的独立笔记段落。保留原代码、输出和图片，不代表原代码已通过正确性验证。</x:v>
      </x:c>
    </x:row>
    <x:row r="11" ht="44" customHeight="1">
      <x:c r="A11" s="7" t="str">
        <x:v>仅有表格摘要</x:v>
      </x:c>
      <x:c r="B11" s="7" t="str">
        <x:v>74、167、19未找到独立详细题解；保留表格摘要并提供待补充章节。206只有标题与摘要。</x:v>
      </x:c>
    </x:row>
    <x:row r="12" ht="50" customHeight="1">
      <x:c r="A12" s="7" t="str">
        <x:v>新增索引</x:v>
      </x:c>
      <x:c r="B12" s="7" t="str">
        <x:v>原表格实际101题，标题97已过期。本次补入笔记已有的235和240，最终103题，不补写其他Hot100题解。</x:v>
      </x:c>
    </x:row>
    <x:row r="13" ht="50" customHeight="1">
      <x:c r="A13" s="7" t="str">
        <x:v>易混题校正</x:v>
      </x:c>
      <x:c r="B13" s="7" t="str">
        <x:v>原矩阵搜索笔记适用于240，74仍保留原表的一维二分摘要；链表中误写“合并两个有序链表”的addTwoNumbers段落校正为2。</x:v>
      </x:c>
    </x:row>
    <x:row r="14" ht="44" customHeight="1">
      <x:c r="A14" s="7" t="str">
        <x:v>多种解法</x:v>
      </x:c>
      <x:c r="B14" s="7" t="str">
        <x:v>42的双指针、前后缀与单调栈解法集中在双指针笔记；283的两份原笔记集中在同一题下。</x:v>
      </x:c>
    </x:row>
    <x:row r="15" ht="44" customHeight="1">
      <x:c r="A15" s="7" t="str">
        <x:v>原有记录</x:v>
      </x:c>
      <x:c r="B15" s="7" t="str">
        <x:v>原表的摘要及无标题第11列错题记录均保留；第11列现在命名为“错题补充”。</x:v>
      </x:c>
    </x:row>
    <x:row r="16" ht="44" customHeight="1">
      <x:c r="A16" s="7" t="str">
        <x:v>题解编号</x:v>
      </x:c>
      <x:c r="B16" s="7" t="str">
        <x:v>原笔记局部编号保留，不等于LeetCode题号；以新增lc-题号章节及索引为准。</x:v>
      </x:c>
    </x:row>
    <x:row r="17" ht="44" customHeight="1">
      <x:c r="A17" s="7" t="str">
        <x:v>官方分类来源</x:v>
      </x:c>
      <x:c r="B17" s="7" t="str">
        <x:v>https://leetcode.cn/studyplan/top-100-liked/</x:v>
      </x:c>
    </x:row>
    <x:row r="18" ht="69" customHeight="1">
      <x:c r="A18" s="7" t="str">
        <x:v>整理前Git备份</x:v>
      </x:c>
      <x:c r="B18" s="7" t="str">
        <x:v>https://github.com/FX43/data-structures-and-deep-learning/tree/codex/leetcode-backup-20260907/leetcode</x:v>
      </x:c>
    </x:row>
    <x:row r="19" ht="44" customHeight="1">
      <x:c r="A19" s="7" t="str">
        <x:v>备份提交</x:v>
      </x:c>
      <x:c r="B19" s="7" t="str">
        <x:v>66c2daa</x:v>
      </x:c>
    </x:row>
  </x:sheetData>
  <x:pageMargins left="0.7" right="0.7" top="0.75" bottom="0.75" header="0.3" footer="0.3"/>
</x:worksheet>
</file>